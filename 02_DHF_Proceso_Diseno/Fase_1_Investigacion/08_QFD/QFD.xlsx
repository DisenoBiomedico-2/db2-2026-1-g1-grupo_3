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202300"/>
  <mc:AlternateContent xmlns:mc="http://schemas.openxmlformats.org/markup-compatibility/2006">
    <mc:Choice Requires="x15">
      <x15ac:absPath xmlns:x15ac="http://schemas.microsoft.com/office/spreadsheetml/2010/11/ac" url="C:\Users\luda_\Desktop\"/>
    </mc:Choice>
  </mc:AlternateContent>
  <xr:revisionPtr revIDLastSave="0" documentId="8_{B13FB789-5C79-4D42-A3C3-81E8DD78A9AC}" xr6:coauthVersionLast="47" xr6:coauthVersionMax="47" xr10:uidLastSave="{00000000-0000-0000-0000-000000000000}"/>
  <workbookProtection workbookPassword="CEF3" lockStructure="1"/>
  <bookViews>
    <workbookView xWindow="-110" yWindow="-110" windowWidth="19420" windowHeight="10300" tabRatio="903" xr2:uid="{74493093-9BD3-40E5-BCA4-170AB3DD3CCF}"/>
  </bookViews>
  <sheets>
    <sheet name="House of Quality 1" sheetId="4" r:id="rId1"/>
    <sheet name="Data Validation Sources" sheetId="18" state="hidden" r:id="rId2"/>
    <sheet name="House of Quality 2" sheetId="30" r:id="rId3"/>
    <sheet name="House of Quality 3" sheetId="34" r:id="rId4"/>
    <sheet name="House of Quality 4" sheetId="35" r:id="rId5"/>
    <sheet name="About" sheetId="22" r:id="rId6"/>
  </sheets>
  <definedNames>
    <definedName name="_xlnm.Print_Area" localSheetId="5">About!$B$2:$L$24</definedName>
    <definedName name="_xlnm.Print_Area" localSheetId="0">'House of Quality 1'!$B$2:$DE$65</definedName>
    <definedName name="_xlnm.Print_Area" localSheetId="2">'House of Quality 2'!$B$2:$DE$75</definedName>
    <definedName name="_xlnm.Print_Area" localSheetId="3">'House of Quality 3'!$B$2:$DE$75</definedName>
    <definedName name="_xlnm.Print_Area" localSheetId="4">'House of Quality 4'!$B$2:$DE$75</definedName>
    <definedName name="Correlation_Options">'Data Validation Sources'!$C$2:$C$6</definedName>
    <definedName name="Min_Max_or_Target_Options">'Data Validation Sources'!$A$2:$A$5</definedName>
    <definedName name="Relationship_Between_Requirements_Options">'Data Validation Sources'!$B$2:$B$5</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1" i="4" l="1"/>
  <c r="D69" i="4" s="1"/>
  <c r="D52" i="4"/>
  <c r="D70" i="4" s="1"/>
  <c r="D53" i="4"/>
  <c r="D71" i="4"/>
  <c r="D54" i="4"/>
  <c r="D72" i="4"/>
  <c r="D55" i="4"/>
  <c r="D73" i="4" s="1"/>
  <c r="D56" i="4"/>
  <c r="D74" i="4" s="1"/>
  <c r="D57" i="4"/>
  <c r="D75" i="4"/>
  <c r="D58" i="4"/>
  <c r="D76" i="4"/>
  <c r="D59" i="4"/>
  <c r="D77" i="4" s="1"/>
  <c r="D60" i="4"/>
  <c r="D78" i="4" s="1"/>
  <c r="H69" i="4"/>
  <c r="H70" i="4"/>
  <c r="C52" i="4" s="1"/>
  <c r="H71" i="4"/>
  <c r="H72" i="4"/>
  <c r="H73" i="4"/>
  <c r="H74" i="4"/>
  <c r="H75" i="4"/>
  <c r="H76" i="4"/>
  <c r="H63" i="4" s="1"/>
  <c r="H77" i="4"/>
  <c r="H78" i="4"/>
  <c r="N70" i="4"/>
  <c r="N69" i="4"/>
  <c r="N71" i="4"/>
  <c r="N72" i="4"/>
  <c r="N73" i="4"/>
  <c r="N74" i="4"/>
  <c r="N75" i="4"/>
  <c r="N76" i="4"/>
  <c r="N77" i="4"/>
  <c r="N78" i="4"/>
  <c r="T71" i="4"/>
  <c r="T69" i="4"/>
  <c r="T63" i="4" s="1"/>
  <c r="T70" i="4"/>
  <c r="T72" i="4"/>
  <c r="T73" i="4"/>
  <c r="T74" i="4"/>
  <c r="T75" i="4"/>
  <c r="T76" i="4"/>
  <c r="T77" i="4"/>
  <c r="T78" i="4"/>
  <c r="Z72" i="4"/>
  <c r="Z69" i="4"/>
  <c r="Z70" i="4"/>
  <c r="Z71" i="4"/>
  <c r="C53" i="4" s="1"/>
  <c r="Z73" i="4"/>
  <c r="Z74" i="4"/>
  <c r="Z75" i="4"/>
  <c r="Z76" i="4"/>
  <c r="Z77" i="4"/>
  <c r="Z78" i="4"/>
  <c r="AF73" i="4"/>
  <c r="AF69" i="4"/>
  <c r="AF63" i="4" s="1"/>
  <c r="AF70" i="4"/>
  <c r="AF71" i="4"/>
  <c r="AF72" i="4"/>
  <c r="AF74" i="4"/>
  <c r="AF75" i="4"/>
  <c r="AF76" i="4"/>
  <c r="AF77" i="4"/>
  <c r="AF78" i="4"/>
  <c r="AL74" i="4"/>
  <c r="AL69" i="4"/>
  <c r="AL70" i="4"/>
  <c r="AL71" i="4"/>
  <c r="AL72" i="4"/>
  <c r="AL73" i="4"/>
  <c r="C55" i="4" s="1"/>
  <c r="AL75" i="4"/>
  <c r="AL76" i="4"/>
  <c r="AL77" i="4"/>
  <c r="AL78" i="4"/>
  <c r="AR75" i="4"/>
  <c r="AR69" i="4"/>
  <c r="AR70" i="4"/>
  <c r="AR71" i="4"/>
  <c r="AR72" i="4"/>
  <c r="AR73" i="4"/>
  <c r="AR74" i="4"/>
  <c r="AR76" i="4"/>
  <c r="AR77" i="4"/>
  <c r="AR78" i="4"/>
  <c r="AX76" i="4"/>
  <c r="AX69" i="4"/>
  <c r="AX70" i="4"/>
  <c r="AX71" i="4"/>
  <c r="AX63" i="4" s="1"/>
  <c r="AX72" i="4"/>
  <c r="AX73" i="4"/>
  <c r="AX74" i="4"/>
  <c r="AX75" i="4"/>
  <c r="AX77" i="4"/>
  <c r="AX78" i="4"/>
  <c r="BD77" i="4"/>
  <c r="BD69" i="4"/>
  <c r="BD63" i="4" s="1"/>
  <c r="BD70" i="4"/>
  <c r="BD71" i="4"/>
  <c r="BD72" i="4"/>
  <c r="BD73" i="4"/>
  <c r="BD74" i="4"/>
  <c r="BD75" i="4"/>
  <c r="BD76" i="4"/>
  <c r="BD78" i="4"/>
  <c r="BJ78" i="4"/>
  <c r="BJ69" i="4"/>
  <c r="BJ70" i="4"/>
  <c r="BJ71" i="4"/>
  <c r="BJ72" i="4"/>
  <c r="BJ73" i="4"/>
  <c r="BJ74" i="4"/>
  <c r="BJ75" i="4"/>
  <c r="BJ76" i="4"/>
  <c r="BJ77" i="4"/>
  <c r="BP69" i="4"/>
  <c r="BP70" i="4"/>
  <c r="BP63" i="4" s="1"/>
  <c r="BP71" i="4"/>
  <c r="BP72" i="4"/>
  <c r="BP73" i="4"/>
  <c r="BP74" i="4"/>
  <c r="BP75" i="4"/>
  <c r="BP76" i="4"/>
  <c r="BP77" i="4"/>
  <c r="BP78" i="4"/>
  <c r="BV70" i="4"/>
  <c r="BV69" i="4"/>
  <c r="BV71" i="4"/>
  <c r="BV72" i="4"/>
  <c r="BV73" i="4"/>
  <c r="BV74" i="4"/>
  <c r="C56" i="4" s="1"/>
  <c r="BV75" i="4"/>
  <c r="BV76" i="4"/>
  <c r="BV77" i="4"/>
  <c r="BV78" i="4"/>
  <c r="CB71" i="4"/>
  <c r="CB69" i="4"/>
  <c r="CB63" i="4" s="1"/>
  <c r="CB70" i="4"/>
  <c r="CB72" i="4"/>
  <c r="CB73" i="4"/>
  <c r="CB74" i="4"/>
  <c r="CB75" i="4"/>
  <c r="CB76" i="4"/>
  <c r="CB77" i="4"/>
  <c r="CB78" i="4"/>
  <c r="CH72" i="4"/>
  <c r="CH69" i="4"/>
  <c r="CH70" i="4"/>
  <c r="CH71" i="4"/>
  <c r="CH73" i="4"/>
  <c r="CH74" i="4"/>
  <c r="CH75" i="4"/>
  <c r="CH76" i="4"/>
  <c r="CH77" i="4"/>
  <c r="CH78" i="4"/>
  <c r="CN73" i="4"/>
  <c r="CN69" i="4"/>
  <c r="CN70" i="4"/>
  <c r="CN71" i="4"/>
  <c r="CN72" i="4"/>
  <c r="CN74" i="4"/>
  <c r="CN75" i="4"/>
  <c r="CN76" i="4"/>
  <c r="CN77" i="4"/>
  <c r="CN78" i="4"/>
  <c r="M79" i="30"/>
  <c r="M80" i="30"/>
  <c r="M81" i="30"/>
  <c r="M82" i="30"/>
  <c r="M83" i="30"/>
  <c r="M84" i="30"/>
  <c r="C61" i="30" s="1"/>
  <c r="M85" i="30"/>
  <c r="M86" i="30"/>
  <c r="M87" i="30"/>
  <c r="M88" i="30"/>
  <c r="M89" i="30"/>
  <c r="M90" i="30"/>
  <c r="M91" i="30"/>
  <c r="M92" i="30"/>
  <c r="C69" i="30" s="1"/>
  <c r="M93" i="30"/>
  <c r="S80" i="30"/>
  <c r="S79" i="30"/>
  <c r="S81" i="30"/>
  <c r="S82" i="30"/>
  <c r="S83" i="30"/>
  <c r="C60" i="30" s="1"/>
  <c r="S84" i="30"/>
  <c r="S85" i="30"/>
  <c r="S86" i="30"/>
  <c r="S87" i="30"/>
  <c r="S88" i="30"/>
  <c r="S89" i="30"/>
  <c r="S90" i="30"/>
  <c r="S91" i="30"/>
  <c r="C68" i="30" s="1"/>
  <c r="S92" i="30"/>
  <c r="S93" i="30"/>
  <c r="Y81" i="30"/>
  <c r="Y79" i="30"/>
  <c r="Y80" i="30"/>
  <c r="Y82" i="30"/>
  <c r="Y73" i="30" s="1"/>
  <c r="Y83" i="30"/>
  <c r="Y84" i="30"/>
  <c r="Y85" i="30"/>
  <c r="Y86" i="30"/>
  <c r="Y87" i="30"/>
  <c r="Y88" i="30"/>
  <c r="Y89" i="30"/>
  <c r="Y90" i="30"/>
  <c r="Y91" i="30"/>
  <c r="Y92" i="30"/>
  <c r="Y93" i="30"/>
  <c r="AE82" i="30"/>
  <c r="AE79" i="30"/>
  <c r="AE80" i="30"/>
  <c r="AE73" i="30" s="1"/>
  <c r="AE81" i="30"/>
  <c r="AE83" i="30"/>
  <c r="AE84" i="30"/>
  <c r="AE85" i="30"/>
  <c r="AE86" i="30"/>
  <c r="AE87" i="30"/>
  <c r="AE88" i="30"/>
  <c r="AE89" i="30"/>
  <c r="C66" i="30" s="1"/>
  <c r="AE90" i="30"/>
  <c r="AE91" i="30"/>
  <c r="AE92" i="30"/>
  <c r="AE93" i="30"/>
  <c r="AK79" i="30"/>
  <c r="AK80" i="30"/>
  <c r="AK81" i="30"/>
  <c r="AK82" i="30"/>
  <c r="AK83" i="30"/>
  <c r="AK84" i="30"/>
  <c r="AK85" i="30"/>
  <c r="AK86" i="30"/>
  <c r="AK87" i="30"/>
  <c r="AK88" i="30"/>
  <c r="AK89" i="30"/>
  <c r="AK90" i="30"/>
  <c r="AK91" i="30"/>
  <c r="AK92" i="30"/>
  <c r="AK93" i="30"/>
  <c r="AQ79" i="30"/>
  <c r="C56" i="30" s="1"/>
  <c r="AQ80" i="30"/>
  <c r="AQ81" i="30"/>
  <c r="C58" i="30" s="1"/>
  <c r="AQ82" i="30"/>
  <c r="AQ83" i="30"/>
  <c r="AQ84" i="30"/>
  <c r="AQ85" i="30"/>
  <c r="AQ86" i="30"/>
  <c r="AQ87" i="30"/>
  <c r="C64" i="30" s="1"/>
  <c r="AQ88" i="30"/>
  <c r="AQ89" i="30"/>
  <c r="AQ90" i="30"/>
  <c r="AQ91" i="30"/>
  <c r="AQ92" i="30"/>
  <c r="AQ93" i="30"/>
  <c r="AK79" i="34"/>
  <c r="AK80" i="34"/>
  <c r="AK81" i="34"/>
  <c r="AK82" i="34"/>
  <c r="AK73" i="34" s="1"/>
  <c r="AK83" i="34"/>
  <c r="AK84" i="34"/>
  <c r="C61" i="34" s="1"/>
  <c r="AK85" i="34"/>
  <c r="AK86" i="34"/>
  <c r="AK87" i="34"/>
  <c r="AK88" i="34"/>
  <c r="AK89" i="34"/>
  <c r="AK90" i="34"/>
  <c r="AK91" i="34"/>
  <c r="AK92" i="34"/>
  <c r="C69" i="34" s="1"/>
  <c r="AK93" i="34"/>
  <c r="AE82" i="34"/>
  <c r="AE79" i="34"/>
  <c r="AE80" i="34"/>
  <c r="AE81" i="34"/>
  <c r="AE83" i="34"/>
  <c r="C60" i="34" s="1"/>
  <c r="AE84" i="34"/>
  <c r="AE85" i="34"/>
  <c r="AE86" i="34"/>
  <c r="AE87" i="34"/>
  <c r="AE88" i="34"/>
  <c r="AE89" i="34"/>
  <c r="AE90" i="34"/>
  <c r="AE91" i="34"/>
  <c r="C68" i="34" s="1"/>
  <c r="AE92" i="34"/>
  <c r="AE93" i="34"/>
  <c r="Y81" i="34"/>
  <c r="Y79" i="34"/>
  <c r="Y73" i="34" s="1"/>
  <c r="Y80" i="34"/>
  <c r="Y82" i="34"/>
  <c r="C59" i="34" s="1"/>
  <c r="Y83" i="34"/>
  <c r="Y84" i="34"/>
  <c r="Y85" i="34"/>
  <c r="Y86" i="34"/>
  <c r="Y87" i="34"/>
  <c r="Y88" i="34"/>
  <c r="Y89" i="34"/>
  <c r="Y90" i="34"/>
  <c r="C67" i="34" s="1"/>
  <c r="Y91" i="34"/>
  <c r="Y92" i="34"/>
  <c r="Y93" i="34"/>
  <c r="S80" i="34"/>
  <c r="S79" i="34"/>
  <c r="S81" i="34"/>
  <c r="S82" i="34"/>
  <c r="S83" i="34"/>
  <c r="S84" i="34"/>
  <c r="S85" i="34"/>
  <c r="S86" i="34"/>
  <c r="S87" i="34"/>
  <c r="S88" i="34"/>
  <c r="S89" i="34"/>
  <c r="S90" i="34"/>
  <c r="S91" i="34"/>
  <c r="S92" i="34"/>
  <c r="S93" i="34"/>
  <c r="M79" i="34"/>
  <c r="M80" i="34"/>
  <c r="M73" i="34" s="1"/>
  <c r="M81" i="34"/>
  <c r="M82" i="34"/>
  <c r="M83" i="34"/>
  <c r="M84" i="34"/>
  <c r="M85" i="34"/>
  <c r="M86" i="34"/>
  <c r="C63" i="34" s="1"/>
  <c r="M87" i="34"/>
  <c r="M88" i="34"/>
  <c r="C65" i="34" s="1"/>
  <c r="M89" i="34"/>
  <c r="M90" i="34"/>
  <c r="M91" i="34"/>
  <c r="M92" i="34"/>
  <c r="M93" i="34"/>
  <c r="F70" i="35"/>
  <c r="AW83" i="30"/>
  <c r="AW79" i="30"/>
  <c r="AW80" i="30"/>
  <c r="AW81" i="30"/>
  <c r="AW82" i="30"/>
  <c r="AW73" i="30" s="1"/>
  <c r="AW84" i="30"/>
  <c r="AW85" i="30"/>
  <c r="C62" i="30" s="1"/>
  <c r="AW86" i="30"/>
  <c r="AW87" i="30"/>
  <c r="AW88" i="30"/>
  <c r="AW89" i="30"/>
  <c r="AW90" i="30"/>
  <c r="AW91" i="30"/>
  <c r="AW92" i="30"/>
  <c r="AW93" i="30"/>
  <c r="C70" i="30" s="1"/>
  <c r="BC84" i="30"/>
  <c r="BC79" i="30"/>
  <c r="BC80" i="30"/>
  <c r="BC81" i="30"/>
  <c r="BC82" i="30"/>
  <c r="BC83" i="30"/>
  <c r="BC85" i="30"/>
  <c r="BC86" i="30"/>
  <c r="C63" i="30" s="1"/>
  <c r="BC87" i="30"/>
  <c r="BC88" i="30"/>
  <c r="BC89" i="30"/>
  <c r="BC90" i="30"/>
  <c r="BC91" i="30"/>
  <c r="BC92" i="30"/>
  <c r="BC93" i="30"/>
  <c r="BI85" i="30"/>
  <c r="BI79" i="30"/>
  <c r="BI80" i="30"/>
  <c r="BI73" i="30" s="1"/>
  <c r="BI81" i="30"/>
  <c r="BI82" i="30"/>
  <c r="BI83" i="30"/>
  <c r="BI84" i="30"/>
  <c r="BI86" i="30"/>
  <c r="BI87" i="30"/>
  <c r="BI88" i="30"/>
  <c r="BI89" i="30"/>
  <c r="BI90" i="30"/>
  <c r="BI91" i="30"/>
  <c r="BI92" i="30"/>
  <c r="BI93" i="30"/>
  <c r="BO86" i="30"/>
  <c r="BO79" i="30"/>
  <c r="BO80" i="30"/>
  <c r="BO81" i="30"/>
  <c r="BO82" i="30"/>
  <c r="BO83" i="30"/>
  <c r="BO84" i="30"/>
  <c r="BO85" i="30"/>
  <c r="BO87" i="30"/>
  <c r="BO88" i="30"/>
  <c r="BO89" i="30"/>
  <c r="BO90" i="30"/>
  <c r="BO91" i="30"/>
  <c r="BO92" i="30"/>
  <c r="BO93" i="30"/>
  <c r="BU87" i="30"/>
  <c r="BU79" i="30"/>
  <c r="BU80" i="30"/>
  <c r="BU73" i="30" s="1"/>
  <c r="BU81" i="30"/>
  <c r="BU82" i="30"/>
  <c r="BU83" i="30"/>
  <c r="BU84" i="30"/>
  <c r="BU85" i="30"/>
  <c r="BU86" i="30"/>
  <c r="BU88" i="30"/>
  <c r="BU89" i="30"/>
  <c r="BU90" i="30"/>
  <c r="BU91" i="30"/>
  <c r="BU92" i="30"/>
  <c r="BU93" i="30"/>
  <c r="CA88" i="30"/>
  <c r="CA79" i="30"/>
  <c r="CA73" i="30" s="1"/>
  <c r="CA80" i="30"/>
  <c r="CA81" i="30"/>
  <c r="CA82" i="30"/>
  <c r="CA83" i="30"/>
  <c r="CA84" i="30"/>
  <c r="CA85" i="30"/>
  <c r="CA86" i="30"/>
  <c r="CA87" i="30"/>
  <c r="CA89" i="30"/>
  <c r="CA90" i="30"/>
  <c r="CA91" i="30"/>
  <c r="CA92" i="30"/>
  <c r="CA93" i="30"/>
  <c r="CG89" i="30"/>
  <c r="CG79" i="30"/>
  <c r="CG80" i="30"/>
  <c r="CG73" i="30" s="1"/>
  <c r="CG81" i="30"/>
  <c r="CG82" i="30"/>
  <c r="CG83" i="30"/>
  <c r="CG84" i="30"/>
  <c r="CG85" i="30"/>
  <c r="CG86" i="30"/>
  <c r="CG87" i="30"/>
  <c r="CG88" i="30"/>
  <c r="CG90" i="30"/>
  <c r="CG91" i="30"/>
  <c r="CG92" i="30"/>
  <c r="CG93" i="30"/>
  <c r="CM93" i="30"/>
  <c r="CM90" i="30"/>
  <c r="CM79" i="30"/>
  <c r="CM80" i="30"/>
  <c r="CM73" i="30" s="1"/>
  <c r="CM81" i="30"/>
  <c r="CM82" i="30"/>
  <c r="CM83" i="30"/>
  <c r="CM84" i="30"/>
  <c r="CM85" i="30"/>
  <c r="CM86" i="30"/>
  <c r="CM87" i="30"/>
  <c r="CM88" i="30"/>
  <c r="CM89" i="30"/>
  <c r="CM91" i="30"/>
  <c r="CM92" i="30"/>
  <c r="CS93" i="30"/>
  <c r="CS91" i="30"/>
  <c r="CS79" i="30"/>
  <c r="CS80" i="30"/>
  <c r="CS81" i="30"/>
  <c r="CS73" i="30" s="1"/>
  <c r="CS82" i="30"/>
  <c r="CS83" i="30"/>
  <c r="CS84" i="30"/>
  <c r="CS85" i="30"/>
  <c r="CS86" i="30"/>
  <c r="CS87" i="30"/>
  <c r="CS88" i="30"/>
  <c r="CS89" i="30"/>
  <c r="CS90" i="30"/>
  <c r="CS92" i="30"/>
  <c r="CS79" i="34"/>
  <c r="CS80" i="34"/>
  <c r="CS81" i="34"/>
  <c r="CS82" i="34"/>
  <c r="CS83" i="34"/>
  <c r="CS84" i="34"/>
  <c r="CS73" i="34" s="1"/>
  <c r="CS85" i="34"/>
  <c r="CS86" i="34"/>
  <c r="CS87" i="34"/>
  <c r="CS88" i="34"/>
  <c r="CS89" i="34"/>
  <c r="CS90" i="34"/>
  <c r="CS91" i="34"/>
  <c r="CS92" i="34"/>
  <c r="CS93" i="34"/>
  <c r="F69" i="35"/>
  <c r="CM92" i="34"/>
  <c r="CM79" i="34"/>
  <c r="CM80" i="34"/>
  <c r="CM81" i="34"/>
  <c r="CM82" i="34"/>
  <c r="CM83" i="34"/>
  <c r="CM73" i="34" s="1"/>
  <c r="CM84" i="34"/>
  <c r="CM85" i="34"/>
  <c r="CM86" i="34"/>
  <c r="CM87" i="34"/>
  <c r="CM88" i="34"/>
  <c r="CM89" i="34"/>
  <c r="CM90" i="34"/>
  <c r="CM91" i="34"/>
  <c r="CM93" i="34"/>
  <c r="F68" i="35"/>
  <c r="CG91" i="34"/>
  <c r="CG79" i="34"/>
  <c r="CG73" i="34" s="1"/>
  <c r="CG80" i="34"/>
  <c r="CG81" i="34"/>
  <c r="CG82" i="34"/>
  <c r="CG83" i="34"/>
  <c r="CG84" i="34"/>
  <c r="CG85" i="34"/>
  <c r="CG86" i="34"/>
  <c r="CG87" i="34"/>
  <c r="CG88" i="34"/>
  <c r="CG89" i="34"/>
  <c r="CG90" i="34"/>
  <c r="CG92" i="34"/>
  <c r="CG93" i="34"/>
  <c r="F67" i="35"/>
  <c r="CA90" i="34"/>
  <c r="CA79" i="34"/>
  <c r="CA80" i="34"/>
  <c r="CA81" i="34"/>
  <c r="CA82" i="34"/>
  <c r="CA83" i="34"/>
  <c r="CA84" i="34"/>
  <c r="CA85" i="34"/>
  <c r="CA86" i="34"/>
  <c r="CA87" i="34"/>
  <c r="CA88" i="34"/>
  <c r="CA89" i="34"/>
  <c r="CA91" i="34"/>
  <c r="CA92" i="34"/>
  <c r="CA93" i="34"/>
  <c r="F66" i="35"/>
  <c r="BU89" i="34"/>
  <c r="BU79" i="34"/>
  <c r="BU73" i="34" s="1"/>
  <c r="BU80" i="34"/>
  <c r="BU81" i="34"/>
  <c r="BU82" i="34"/>
  <c r="BU83" i="34"/>
  <c r="BU84" i="34"/>
  <c r="BU85" i="34"/>
  <c r="BU86" i="34"/>
  <c r="BU87" i="34"/>
  <c r="BU88" i="34"/>
  <c r="BU90" i="34"/>
  <c r="BU91" i="34"/>
  <c r="BU92" i="34"/>
  <c r="BU93" i="34"/>
  <c r="F65" i="35"/>
  <c r="BO88" i="34"/>
  <c r="BO79" i="34"/>
  <c r="BO80" i="34"/>
  <c r="BO81" i="34"/>
  <c r="BO82" i="34"/>
  <c r="BO83" i="34"/>
  <c r="BO84" i="34"/>
  <c r="BO85" i="34"/>
  <c r="BO73" i="34" s="1"/>
  <c r="BO86" i="34"/>
  <c r="BO87" i="34"/>
  <c r="BO89" i="34"/>
  <c r="BO90" i="34"/>
  <c r="BO91" i="34"/>
  <c r="BO92" i="34"/>
  <c r="BO93" i="34"/>
  <c r="F64" i="35"/>
  <c r="BI87" i="34"/>
  <c r="BI79" i="34"/>
  <c r="BI73" i="34" s="1"/>
  <c r="BI80" i="34"/>
  <c r="BI81" i="34"/>
  <c r="BI82" i="34"/>
  <c r="BI83" i="34"/>
  <c r="BI84" i="34"/>
  <c r="BI85" i="34"/>
  <c r="BI86" i="34"/>
  <c r="BI88" i="34"/>
  <c r="BI89" i="34"/>
  <c r="BI90" i="34"/>
  <c r="BI91" i="34"/>
  <c r="BI92" i="34"/>
  <c r="BI93" i="34"/>
  <c r="F63" i="35"/>
  <c r="BC86" i="34"/>
  <c r="BC79" i="34"/>
  <c r="BC73" i="34" s="1"/>
  <c r="BC80" i="34"/>
  <c r="BC81" i="34"/>
  <c r="BC82" i="34"/>
  <c r="BC83" i="34"/>
  <c r="BC84" i="34"/>
  <c r="BC85" i="34"/>
  <c r="C62" i="34" s="1"/>
  <c r="BC87" i="34"/>
  <c r="BC88" i="34"/>
  <c r="BC89" i="34"/>
  <c r="BC90" i="34"/>
  <c r="BC91" i="34"/>
  <c r="BC92" i="34"/>
  <c r="BC93" i="34"/>
  <c r="F62" i="35"/>
  <c r="AW85" i="34"/>
  <c r="AW79" i="34"/>
  <c r="AW80" i="34"/>
  <c r="AW81" i="34"/>
  <c r="AW82" i="34"/>
  <c r="AW83" i="34"/>
  <c r="AW73" i="34" s="1"/>
  <c r="AW84" i="34"/>
  <c r="AW86" i="34"/>
  <c r="AW87" i="34"/>
  <c r="AW88" i="34"/>
  <c r="AW89" i="34"/>
  <c r="AW90" i="34"/>
  <c r="AW91" i="34"/>
  <c r="AW92" i="34"/>
  <c r="AW93" i="34"/>
  <c r="F61" i="35"/>
  <c r="AQ84" i="34"/>
  <c r="AQ79" i="34"/>
  <c r="AQ80" i="34"/>
  <c r="AQ81" i="34"/>
  <c r="AQ82" i="34"/>
  <c r="AQ83" i="34"/>
  <c r="AQ73" i="34" s="1"/>
  <c r="AQ85" i="34"/>
  <c r="AQ86" i="34"/>
  <c r="AQ87" i="34"/>
  <c r="AQ88" i="34"/>
  <c r="AQ89" i="34"/>
  <c r="AQ90" i="34"/>
  <c r="AQ91" i="34"/>
  <c r="AQ92" i="34"/>
  <c r="AQ93" i="34"/>
  <c r="F60" i="35"/>
  <c r="F59" i="35"/>
  <c r="F58" i="35"/>
  <c r="F57" i="35"/>
  <c r="F56" i="35"/>
  <c r="M79" i="35"/>
  <c r="S79" i="35"/>
  <c r="C56" i="35" s="1"/>
  <c r="Y79" i="35"/>
  <c r="AE79" i="35"/>
  <c r="AE73" i="35" s="1"/>
  <c r="AK79" i="35"/>
  <c r="AQ79" i="35"/>
  <c r="AQ73" i="35" s="1"/>
  <c r="AW79" i="35"/>
  <c r="BC79" i="35"/>
  <c r="BI79" i="35"/>
  <c r="BO79" i="35"/>
  <c r="BO73" i="35" s="1"/>
  <c r="BU79" i="35"/>
  <c r="CA79" i="35"/>
  <c r="CA73" i="35" s="1"/>
  <c r="CG79" i="35"/>
  <c r="CM79" i="35"/>
  <c r="CM73" i="35" s="1"/>
  <c r="CS79" i="35"/>
  <c r="M80" i="35"/>
  <c r="M73" i="35" s="1"/>
  <c r="S80" i="35"/>
  <c r="Y80" i="35"/>
  <c r="Y73" i="35" s="1"/>
  <c r="AE80" i="35"/>
  <c r="AK80" i="35"/>
  <c r="AQ80" i="35"/>
  <c r="AW80" i="35"/>
  <c r="BC80" i="35"/>
  <c r="BI80" i="35"/>
  <c r="BI73" i="35" s="1"/>
  <c r="BO80" i="35"/>
  <c r="BU80" i="35"/>
  <c r="BU73" i="35" s="1"/>
  <c r="CA80" i="35"/>
  <c r="CG80" i="35"/>
  <c r="CM80" i="35"/>
  <c r="CS80" i="35"/>
  <c r="M81" i="35"/>
  <c r="S81" i="35"/>
  <c r="C58" i="35" s="1"/>
  <c r="Y81" i="35"/>
  <c r="AE81" i="35"/>
  <c r="AK81" i="35"/>
  <c r="AQ81" i="35"/>
  <c r="AW81" i="35"/>
  <c r="BC81" i="35"/>
  <c r="BC73" i="35" s="1"/>
  <c r="BI81" i="35"/>
  <c r="BO81" i="35"/>
  <c r="BU81" i="35"/>
  <c r="CA81" i="35"/>
  <c r="CG81" i="35"/>
  <c r="CM81" i="35"/>
  <c r="CS81" i="35"/>
  <c r="M82" i="35"/>
  <c r="C59" i="35" s="1"/>
  <c r="S82" i="35"/>
  <c r="Y82" i="35"/>
  <c r="AE82" i="35"/>
  <c r="AK82" i="35"/>
  <c r="AQ82" i="35"/>
  <c r="AW82" i="35"/>
  <c r="AW73" i="35" s="1"/>
  <c r="BC82" i="35"/>
  <c r="BI82" i="35"/>
  <c r="BO82" i="35"/>
  <c r="BU82" i="35"/>
  <c r="CA82" i="35"/>
  <c r="CG82" i="35"/>
  <c r="CM82" i="35"/>
  <c r="CS82" i="35"/>
  <c r="CS73" i="35" s="1"/>
  <c r="M83" i="35"/>
  <c r="S83" i="35"/>
  <c r="Y83" i="35"/>
  <c r="AE83" i="35"/>
  <c r="AK83" i="35"/>
  <c r="AQ83" i="35"/>
  <c r="AW83" i="35"/>
  <c r="BC83" i="35"/>
  <c r="C60" i="35" s="1"/>
  <c r="BI83" i="35"/>
  <c r="BO83" i="35"/>
  <c r="BU83" i="35"/>
  <c r="CA83" i="35"/>
  <c r="CG83" i="35"/>
  <c r="CM83" i="35"/>
  <c r="CS83" i="35"/>
  <c r="M84" i="35"/>
  <c r="C61" i="35" s="1"/>
  <c r="S84" i="35"/>
  <c r="Y84" i="35"/>
  <c r="AE84" i="35"/>
  <c r="AK84" i="35"/>
  <c r="AQ84" i="35"/>
  <c r="AW84" i="35"/>
  <c r="BC84" i="35"/>
  <c r="BI84" i="35"/>
  <c r="BO84" i="35"/>
  <c r="BU84" i="35"/>
  <c r="CA84" i="35"/>
  <c r="CG84" i="35"/>
  <c r="CM84" i="35"/>
  <c r="CS84" i="35"/>
  <c r="M85" i="35"/>
  <c r="S85" i="35"/>
  <c r="Y85" i="35"/>
  <c r="AE85" i="35"/>
  <c r="C62" i="35" s="1"/>
  <c r="AK85" i="35"/>
  <c r="AQ85" i="35"/>
  <c r="AW85" i="35"/>
  <c r="BC85" i="35"/>
  <c r="BI85" i="35"/>
  <c r="BO85" i="35"/>
  <c r="BU85" i="35"/>
  <c r="CA85" i="35"/>
  <c r="CG85" i="35"/>
  <c r="CM85" i="35"/>
  <c r="CS85" i="35"/>
  <c r="M86" i="35"/>
  <c r="S86" i="35"/>
  <c r="Y86" i="35"/>
  <c r="C63" i="35" s="1"/>
  <c r="AE86" i="35"/>
  <c r="AK86" i="35"/>
  <c r="AQ86" i="35"/>
  <c r="AW86" i="35"/>
  <c r="BC86" i="35"/>
  <c r="BI86" i="35"/>
  <c r="BO86" i="35"/>
  <c r="BU86" i="35"/>
  <c r="CA86" i="35"/>
  <c r="CG86" i="35"/>
  <c r="CM86" i="35"/>
  <c r="CS86" i="35"/>
  <c r="M87" i="35"/>
  <c r="S87" i="35"/>
  <c r="C64" i="35" s="1"/>
  <c r="Y87" i="35"/>
  <c r="AE87" i="35"/>
  <c r="AK87" i="35"/>
  <c r="AQ87" i="35"/>
  <c r="AW87" i="35"/>
  <c r="BC87" i="35"/>
  <c r="BI87" i="35"/>
  <c r="BO87" i="35"/>
  <c r="BU87" i="35"/>
  <c r="CA87" i="35"/>
  <c r="CG87" i="35"/>
  <c r="CM87" i="35"/>
  <c r="CS87" i="35"/>
  <c r="M88" i="35"/>
  <c r="C65" i="35" s="1"/>
  <c r="S88" i="35"/>
  <c r="Y88" i="35"/>
  <c r="AE88" i="35"/>
  <c r="AK88" i="35"/>
  <c r="AQ88" i="35"/>
  <c r="AW88" i="35"/>
  <c r="BC88" i="35"/>
  <c r="BI88" i="35"/>
  <c r="BO88" i="35"/>
  <c r="BU88" i="35"/>
  <c r="CA88" i="35"/>
  <c r="CG88" i="35"/>
  <c r="CM88" i="35"/>
  <c r="CS88" i="35"/>
  <c r="M89" i="35"/>
  <c r="S89" i="35"/>
  <c r="C66" i="35" s="1"/>
  <c r="Y89" i="35"/>
  <c r="AE89" i="35"/>
  <c r="AK89" i="35"/>
  <c r="AQ89" i="35"/>
  <c r="AW89" i="35"/>
  <c r="BC89" i="35"/>
  <c r="BI89" i="35"/>
  <c r="BO89" i="35"/>
  <c r="BU89" i="35"/>
  <c r="CA89" i="35"/>
  <c r="CG89" i="35"/>
  <c r="CM89" i="35"/>
  <c r="CS89" i="35"/>
  <c r="M90" i="35"/>
  <c r="C67" i="35" s="1"/>
  <c r="S90" i="35"/>
  <c r="Y90" i="35"/>
  <c r="AE90" i="35"/>
  <c r="AK90" i="35"/>
  <c r="AQ90" i="35"/>
  <c r="AW90" i="35"/>
  <c r="BC90" i="35"/>
  <c r="BI90" i="35"/>
  <c r="BO90" i="35"/>
  <c r="BU90" i="35"/>
  <c r="CA90" i="35"/>
  <c r="CG90" i="35"/>
  <c r="CM90" i="35"/>
  <c r="CS90" i="35"/>
  <c r="M91" i="35"/>
  <c r="S91" i="35"/>
  <c r="Y91" i="35"/>
  <c r="AE91" i="35"/>
  <c r="AK91" i="35"/>
  <c r="AQ91" i="35"/>
  <c r="AW91" i="35"/>
  <c r="BC91" i="35"/>
  <c r="BI91" i="35"/>
  <c r="BO91" i="35"/>
  <c r="BU91" i="35"/>
  <c r="CA91" i="35"/>
  <c r="CG91" i="35"/>
  <c r="CM91" i="35"/>
  <c r="CS91" i="35"/>
  <c r="C68" i="35"/>
  <c r="M92" i="35"/>
  <c r="C69" i="35" s="1"/>
  <c r="S92" i="35"/>
  <c r="Y92" i="35"/>
  <c r="AE92" i="35"/>
  <c r="AK92" i="35"/>
  <c r="AQ92" i="35"/>
  <c r="AW92" i="35"/>
  <c r="BC92" i="35"/>
  <c r="BI92" i="35"/>
  <c r="BO92" i="35"/>
  <c r="BU92" i="35"/>
  <c r="CA92" i="35"/>
  <c r="CG92" i="35"/>
  <c r="CM92" i="35"/>
  <c r="CS92" i="35"/>
  <c r="M93" i="35"/>
  <c r="C70" i="35" s="1"/>
  <c r="S93" i="35"/>
  <c r="Y93" i="35"/>
  <c r="AE93" i="35"/>
  <c r="AK93" i="35"/>
  <c r="AQ93" i="35"/>
  <c r="AW93" i="35"/>
  <c r="BC93" i="35"/>
  <c r="BI93" i="35"/>
  <c r="BO93" i="35"/>
  <c r="BU93" i="35"/>
  <c r="CA93" i="35"/>
  <c r="CG93" i="35"/>
  <c r="CM93" i="35"/>
  <c r="CS93" i="35"/>
  <c r="AK73" i="35"/>
  <c r="CG73" i="35"/>
  <c r="F70" i="34"/>
  <c r="F69" i="34"/>
  <c r="F68" i="34"/>
  <c r="F67" i="34"/>
  <c r="F66" i="34"/>
  <c r="F65" i="34"/>
  <c r="F64" i="34"/>
  <c r="F63" i="34"/>
  <c r="F62" i="34"/>
  <c r="F61" i="34"/>
  <c r="F60" i="34"/>
  <c r="F59" i="34"/>
  <c r="F58" i="34"/>
  <c r="F57" i="34"/>
  <c r="F56" i="34"/>
  <c r="F70" i="30"/>
  <c r="F69" i="30"/>
  <c r="F68" i="30"/>
  <c r="F67" i="30"/>
  <c r="F66" i="30"/>
  <c r="F65" i="30"/>
  <c r="F64" i="30"/>
  <c r="F63" i="30"/>
  <c r="F62" i="30"/>
  <c r="F61" i="30"/>
  <c r="F60" i="30"/>
  <c r="F59" i="30"/>
  <c r="F58" i="30"/>
  <c r="F57" i="30"/>
  <c r="F56" i="30"/>
  <c r="C56" i="34"/>
  <c r="C58" i="34"/>
  <c r="C64" i="34"/>
  <c r="C66" i="34"/>
  <c r="C70" i="34"/>
  <c r="S73" i="34"/>
  <c r="AE73" i="34"/>
  <c r="CA73" i="34"/>
  <c r="C67" i="30"/>
  <c r="C65" i="30"/>
  <c r="C59" i="30"/>
  <c r="C57" i="30"/>
  <c r="BO73" i="30"/>
  <c r="BC73" i="30"/>
  <c r="AQ73" i="30"/>
  <c r="AK73" i="30"/>
  <c r="S73" i="30"/>
  <c r="N63" i="4"/>
  <c r="Z63" i="4"/>
  <c r="AL63" i="4"/>
  <c r="AR63" i="4"/>
  <c r="BJ63" i="4"/>
  <c r="BV63" i="4"/>
  <c r="CH63" i="4"/>
  <c r="CN63" i="4"/>
  <c r="DG52" i="4"/>
  <c r="DG53" i="4"/>
  <c r="DG54" i="4"/>
  <c r="DG55" i="4"/>
  <c r="DG56" i="4"/>
  <c r="DG57" i="4"/>
  <c r="DG58" i="4"/>
  <c r="DG59" i="4"/>
  <c r="DG60" i="4"/>
  <c r="DG51" i="4"/>
  <c r="C60" i="4"/>
  <c r="C59" i="4"/>
  <c r="C57" i="4"/>
  <c r="C54" i="4"/>
  <c r="C51" i="4"/>
  <c r="N64" i="4" l="1"/>
  <c r="Z64" i="4"/>
  <c r="AL64" i="4"/>
  <c r="AX64" i="4"/>
  <c r="BJ64" i="4"/>
  <c r="BV64" i="4"/>
  <c r="CH64" i="4"/>
  <c r="H64" i="4"/>
  <c r="T64" i="4"/>
  <c r="AF64" i="4"/>
  <c r="AR64" i="4"/>
  <c r="BD64" i="4"/>
  <c r="BP64" i="4"/>
  <c r="CB64" i="4"/>
  <c r="CN64" i="4"/>
  <c r="C58" i="4"/>
  <c r="M73" i="30"/>
  <c r="C57" i="34"/>
  <c r="S73" i="35"/>
  <c r="C57" i="35"/>
  <c r="CB65" i="4" l="1"/>
  <c r="E68" i="30"/>
  <c r="D68" i="30" s="1"/>
  <c r="D91" i="30" s="1"/>
  <c r="E67" i="30"/>
  <c r="D67" i="30" s="1"/>
  <c r="D90" i="30" s="1"/>
  <c r="BV65" i="4"/>
  <c r="H65" i="4"/>
  <c r="E56" i="30"/>
  <c r="D56" i="30" s="1"/>
  <c r="D79" i="30" s="1"/>
  <c r="BP65" i="4"/>
  <c r="E66" i="30"/>
  <c r="D66" i="30" s="1"/>
  <c r="D89" i="30" s="1"/>
  <c r="E65" i="30"/>
  <c r="D65" i="30" s="1"/>
  <c r="D88" i="30" s="1"/>
  <c r="BJ65" i="4"/>
  <c r="BD65" i="4"/>
  <c r="E64" i="30"/>
  <c r="D64" i="30" s="1"/>
  <c r="D87" i="30" s="1"/>
  <c r="AX65" i="4"/>
  <c r="E63" i="30"/>
  <c r="D63" i="30" s="1"/>
  <c r="D86" i="30" s="1"/>
  <c r="AR65" i="4"/>
  <c r="E62" i="30"/>
  <c r="D62" i="30" s="1"/>
  <c r="D85" i="30" s="1"/>
  <c r="AL65" i="4"/>
  <c r="E61" i="30"/>
  <c r="D61" i="30" s="1"/>
  <c r="D84" i="30" s="1"/>
  <c r="CH65" i="4"/>
  <c r="E69" i="30"/>
  <c r="D69" i="30" s="1"/>
  <c r="D92" i="30" s="1"/>
  <c r="E60" i="30"/>
  <c r="D60" i="30" s="1"/>
  <c r="D83" i="30" s="1"/>
  <c r="AF65" i="4"/>
  <c r="E59" i="30"/>
  <c r="D59" i="30" s="1"/>
  <c r="D82" i="30" s="1"/>
  <c r="Z65" i="4"/>
  <c r="CN65" i="4"/>
  <c r="E70" i="30"/>
  <c r="D70" i="30" s="1"/>
  <c r="D93" i="30" s="1"/>
  <c r="T65" i="4"/>
  <c r="E58" i="30"/>
  <c r="D58" i="30" s="1"/>
  <c r="D81" i="30" s="1"/>
  <c r="N65" i="4"/>
  <c r="E57" i="30"/>
  <c r="D57" i="30" s="1"/>
  <c r="D80" i="30" s="1"/>
  <c r="AE74" i="30" l="1"/>
  <c r="BI74" i="30"/>
  <c r="CG74" i="30"/>
  <c r="AK74" i="30"/>
  <c r="AQ74" i="30"/>
  <c r="BO74" i="30"/>
  <c r="CM74" i="30"/>
  <c r="AW74" i="30"/>
  <c r="BU74" i="30"/>
  <c r="CS74" i="30"/>
  <c r="M74" i="30"/>
  <c r="S74" i="30"/>
  <c r="BC74" i="30"/>
  <c r="CA74" i="30"/>
  <c r="Y74" i="30"/>
  <c r="E62" i="34" l="1"/>
  <c r="D62" i="34" s="1"/>
  <c r="D85" i="34" s="1"/>
  <c r="AW75" i="30"/>
  <c r="E65" i="34"/>
  <c r="D65" i="34" s="1"/>
  <c r="D88" i="34" s="1"/>
  <c r="BO75" i="30"/>
  <c r="E61" i="34"/>
  <c r="D61" i="34" s="1"/>
  <c r="D84" i="34" s="1"/>
  <c r="AQ75" i="30"/>
  <c r="E58" i="34"/>
  <c r="D58" i="34" s="1"/>
  <c r="D81" i="34" s="1"/>
  <c r="Y75" i="30"/>
  <c r="AK75" i="30"/>
  <c r="E60" i="34"/>
  <c r="D60" i="34" s="1"/>
  <c r="D83" i="34" s="1"/>
  <c r="E68" i="34"/>
  <c r="D68" i="34" s="1"/>
  <c r="D91" i="34" s="1"/>
  <c r="CG75" i="30"/>
  <c r="CA75" i="30"/>
  <c r="E67" i="34"/>
  <c r="D67" i="34" s="1"/>
  <c r="D90" i="34" s="1"/>
  <c r="S75" i="30"/>
  <c r="E57" i="34"/>
  <c r="D57" i="34" s="1"/>
  <c r="D80" i="34" s="1"/>
  <c r="E70" i="34"/>
  <c r="D70" i="34" s="1"/>
  <c r="D93" i="34" s="1"/>
  <c r="CS75" i="30"/>
  <c r="E64" i="34"/>
  <c r="D64" i="34" s="1"/>
  <c r="D87" i="34" s="1"/>
  <c r="BI75" i="30"/>
  <c r="CM75" i="30"/>
  <c r="E69" i="34"/>
  <c r="D69" i="34" s="1"/>
  <c r="D92" i="34" s="1"/>
  <c r="BC75" i="30"/>
  <c r="E63" i="34"/>
  <c r="D63" i="34" s="1"/>
  <c r="D86" i="34" s="1"/>
  <c r="M75" i="30"/>
  <c r="E56" i="34"/>
  <c r="D56" i="34" s="1"/>
  <c r="D79" i="34" s="1"/>
  <c r="BU75" i="30"/>
  <c r="E66" i="34"/>
  <c r="D66" i="34" s="1"/>
  <c r="D89" i="34" s="1"/>
  <c r="E59" i="34"/>
  <c r="D59" i="34" s="1"/>
  <c r="D82" i="34" s="1"/>
  <c r="AE75" i="30"/>
  <c r="CG74" i="34" l="1"/>
  <c r="BI74" i="34"/>
  <c r="AE74" i="34"/>
  <c r="Y74" i="34"/>
  <c r="M74" i="34"/>
  <c r="CA74" i="34"/>
  <c r="BC74" i="34"/>
  <c r="S74" i="34"/>
  <c r="CS74" i="34"/>
  <c r="BU74" i="34"/>
  <c r="AW74" i="34"/>
  <c r="CM74" i="34"/>
  <c r="BO74" i="34"/>
  <c r="AQ74" i="34"/>
  <c r="AK74" i="34"/>
  <c r="E57" i="35" l="1"/>
  <c r="D57" i="35" s="1"/>
  <c r="D80" i="35" s="1"/>
  <c r="S75" i="34"/>
  <c r="E67" i="35"/>
  <c r="D67" i="35" s="1"/>
  <c r="D90" i="35" s="1"/>
  <c r="CA75" i="34"/>
  <c r="M75" i="34"/>
  <c r="E56" i="35"/>
  <c r="D56" i="35" s="1"/>
  <c r="D79" i="35" s="1"/>
  <c r="BC75" i="34"/>
  <c r="E63" i="35"/>
  <c r="D63" i="35" s="1"/>
  <c r="D86" i="35" s="1"/>
  <c r="E58" i="35"/>
  <c r="D58" i="35" s="1"/>
  <c r="D81" i="35" s="1"/>
  <c r="Y75" i="34"/>
  <c r="E60" i="35"/>
  <c r="D60" i="35" s="1"/>
  <c r="D83" i="35" s="1"/>
  <c r="AK75" i="34"/>
  <c r="E59" i="35"/>
  <c r="D59" i="35" s="1"/>
  <c r="D82" i="35" s="1"/>
  <c r="AE75" i="34"/>
  <c r="AQ75" i="34"/>
  <c r="E61" i="35"/>
  <c r="D61" i="35" s="1"/>
  <c r="D84" i="35" s="1"/>
  <c r="E62" i="35"/>
  <c r="D62" i="35" s="1"/>
  <c r="D85" i="35" s="1"/>
  <c r="AW75" i="34"/>
  <c r="E66" i="35"/>
  <c r="D66" i="35" s="1"/>
  <c r="D89" i="35" s="1"/>
  <c r="BU75" i="34"/>
  <c r="E64" i="35"/>
  <c r="D64" i="35" s="1"/>
  <c r="D87" i="35" s="1"/>
  <c r="BI75" i="34"/>
  <c r="BO75" i="34"/>
  <c r="E65" i="35"/>
  <c r="D65" i="35" s="1"/>
  <c r="D88" i="35" s="1"/>
  <c r="CM75" i="34"/>
  <c r="E69" i="35"/>
  <c r="D69" i="35" s="1"/>
  <c r="D92" i="35" s="1"/>
  <c r="E70" i="35"/>
  <c r="D70" i="35" s="1"/>
  <c r="D93" i="35" s="1"/>
  <c r="CS75" i="34"/>
  <c r="E68" i="35"/>
  <c r="D68" i="35" s="1"/>
  <c r="D91" i="35" s="1"/>
  <c r="CG75" i="34"/>
  <c r="S74" i="35" l="1"/>
  <c r="S75" i="35" s="1"/>
  <c r="BO74" i="35"/>
  <c r="BO75" i="35" s="1"/>
  <c r="Y74" i="35"/>
  <c r="Y75" i="35" s="1"/>
  <c r="BU74" i="35"/>
  <c r="BU75" i="35" s="1"/>
  <c r="CG74" i="35"/>
  <c r="CG75" i="35" s="1"/>
  <c r="AE74" i="35"/>
  <c r="AE75" i="35" s="1"/>
  <c r="CA74" i="35"/>
  <c r="CA75" i="35" s="1"/>
  <c r="AQ74" i="35"/>
  <c r="AQ75" i="35" s="1"/>
  <c r="CM74" i="35"/>
  <c r="CM75" i="35" s="1"/>
  <c r="AW74" i="35"/>
  <c r="AW75" i="35" s="1"/>
  <c r="BC74" i="35"/>
  <c r="BC75" i="35" s="1"/>
  <c r="M74" i="35"/>
  <c r="M75" i="35" s="1"/>
  <c r="AK74" i="35"/>
  <c r="AK75" i="35" s="1"/>
  <c r="CS74" i="35"/>
  <c r="CS75" i="35" s="1"/>
  <c r="BI74" i="35"/>
  <c r="BI75" i="35" s="1"/>
</calcChain>
</file>

<file path=xl/sharedStrings.xml><?xml version="1.0" encoding="utf-8"?>
<sst xmlns="http://schemas.openxmlformats.org/spreadsheetml/2006/main" count="195" uniqueCount="65">
  <si>
    <t>▲</t>
  </si>
  <si>
    <t xml:space="preserve">     Relative Weight</t>
  </si>
  <si>
    <t>Relative Weight</t>
  </si>
  <si>
    <t>Max Relationship Value in Column</t>
  </si>
  <si>
    <t>▼</t>
  </si>
  <si>
    <t>x</t>
  </si>
  <si>
    <t>Min, Max, or Target Options</t>
  </si>
  <si>
    <t>Relationship Between Requirements Options</t>
  </si>
  <si>
    <t>Correlation Options</t>
  </si>
  <si>
    <t>Target or Limit Value</t>
  </si>
  <si>
    <t>Weight / Importance</t>
  </si>
  <si>
    <t>Competitor 1</t>
  </si>
  <si>
    <t>Competitor 2</t>
  </si>
  <si>
    <t>Competitor 3</t>
  </si>
  <si>
    <t>Competitor 4</t>
  </si>
  <si>
    <t>Competitor 5</t>
  </si>
  <si>
    <t xml:space="preserve">Template Name: </t>
  </si>
  <si>
    <t>Version:</t>
  </si>
  <si>
    <t>Release Date:</t>
  </si>
  <si>
    <t>Use of this template constitues acceptance of the terms associated with its use, including an understanding that this template is provided "as is" with no warrantees expressed or implied by QFD Online. For a complete list of the terms associated with the use of this template, please visit:</t>
  </si>
  <si>
    <t xml:space="preserve">Updated versions of this template (along with other valuable comments and instruction regarding its use) can be obtained at the following location: </t>
  </si>
  <si>
    <t xml:space="preserve">If you have any questions, comments, requests, or suggestions regarding this template, please submit them via the following discussion forum for this template: </t>
  </si>
  <si>
    <t>http://www.qfdonline.com/templates/</t>
  </si>
  <si>
    <t>http://www.qfdonline.com/about/terms-of-use/</t>
  </si>
  <si>
    <t>Row #</t>
  </si>
  <si>
    <t>Column #</t>
  </si>
  <si>
    <r>
      <t>Competitive Analysis</t>
    </r>
    <r>
      <rPr>
        <sz val="8"/>
        <rFont val="Arial"/>
      </rPr>
      <t xml:space="preserve">
(0=Worst, 5=Best)</t>
    </r>
  </si>
  <si>
    <t>Our Company</t>
  </si>
  <si>
    <r>
      <t xml:space="preserve">Direction of Improvement:
</t>
    </r>
    <r>
      <rPr>
        <sz val="8"/>
        <rFont val="Arial"/>
      </rPr>
      <t>Minimize (▼), Maximize (▲), or Target (x)</t>
    </r>
  </si>
  <si>
    <t xml:space="preserve">  Weight / Importance</t>
  </si>
  <si>
    <t>▬</t>
  </si>
  <si>
    <t>┼</t>
  </si>
  <si>
    <t>Ο</t>
  </si>
  <si>
    <t>Θ</t>
  </si>
  <si>
    <t>┼┼</t>
  </si>
  <si>
    <t>Max Relationship Value in Row</t>
  </si>
  <si>
    <r>
      <t xml:space="preserve">Difficulty
</t>
    </r>
    <r>
      <rPr>
        <sz val="8"/>
        <rFont val="Arial"/>
      </rPr>
      <t>(0=Easy to Accomplish, 10=Extremely Difficult)</t>
    </r>
  </si>
  <si>
    <t>Legend</t>
  </si>
  <si>
    <t>Negative Correlation</t>
  </si>
  <si>
    <t>Positive Correlation</t>
  </si>
  <si>
    <t>Strong Positive Correlation</t>
  </si>
  <si>
    <t>Strong Negative Correlation</t>
  </si>
  <si>
    <t>Strong Relationship</t>
  </si>
  <si>
    <t>Moderate Relationship</t>
  </si>
  <si>
    <t>Weak Relationship</t>
  </si>
  <si>
    <t>Objective Is To Minimize</t>
  </si>
  <si>
    <t>Objective Is To Maximize</t>
  </si>
  <si>
    <t>Objective Is To Hit Target</t>
  </si>
  <si>
    <r>
      <t>Powered by QFD Online (</t>
    </r>
    <r>
      <rPr>
        <u/>
        <sz val="7"/>
        <color indexed="12"/>
        <rFont val="Arial"/>
        <family val="2"/>
      </rPr>
      <t>http://www.QFDOnline.com</t>
    </r>
    <r>
      <rPr>
        <sz val="7"/>
        <rFont val="Arial"/>
      </rPr>
      <t>)</t>
    </r>
  </si>
  <si>
    <t>Chart Axis Values</t>
  </si>
  <si>
    <t>Numeric Values for Relationship Matrix Calculations</t>
  </si>
  <si>
    <t>Title:</t>
  </si>
  <si>
    <t>Author:</t>
  </si>
  <si>
    <t>Date:</t>
  </si>
  <si>
    <t>Notes:</t>
  </si>
  <si>
    <t>http://www.qfdonline.com/templates/comments/</t>
  </si>
  <si>
    <r>
      <t xml:space="preserve">Demanded Quality 
</t>
    </r>
    <r>
      <rPr>
        <sz val="8"/>
        <rFont val="Arial"/>
      </rPr>
      <t>(a.k.a. "Customer Requirements" or "Whats")</t>
    </r>
  </si>
  <si>
    <r>
      <t xml:space="preserve">Quality Characteristics
</t>
    </r>
    <r>
      <rPr>
        <sz val="8"/>
        <rFont val="Arial"/>
      </rPr>
      <t>(a.k.a. "Functional Requirements" or "Hows")</t>
    </r>
  </si>
  <si>
    <r>
      <t xml:space="preserve">Demanded Quality 
</t>
    </r>
    <r>
      <rPr>
        <sz val="8"/>
        <rFont val="Arial"/>
      </rPr>
      <t>(a.k.a. "Whats")</t>
    </r>
  </si>
  <si>
    <r>
      <t xml:space="preserve">Quality Characteristics 
</t>
    </r>
    <r>
      <rPr>
        <sz val="8"/>
        <rFont val="Arial"/>
      </rPr>
      <t>(a.k.a. "Hows")</t>
    </r>
  </si>
  <si>
    <t>Template Sponsors:</t>
  </si>
  <si>
    <t>Traditional House of Quality</t>
  </si>
  <si>
    <t>2.0.346.0</t>
  </si>
  <si>
    <r>
      <t xml:space="preserve">This template was distributed by QFD Online or one of its Template Sponsors.  
</t>
    </r>
    <r>
      <rPr>
        <b/>
        <i/>
        <sz val="8"/>
        <color indexed="10"/>
        <rFont val="Arial"/>
      </rPr>
      <t>Resale or redistribution of this template by entities other than QFD Online or its Template Sponsors is strictly prohibited.</t>
    </r>
    <r>
      <rPr>
        <sz val="8"/>
        <rFont val="Arial"/>
      </rPr>
      <t xml:space="preserve"> Inquiries about obtaining redistribution rights to QFD Online's templates can be submitted through the following URL:</t>
    </r>
  </si>
  <si>
    <t>http://www.qfdonline.com/templates/template-sponsorship/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</si>
</sst>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
    <numFmt numFmtId="178" formatCode="[$-409]mmmm\ d\,\ yyyy;@"/>
    <numFmt numFmtId="179" formatCode="0.0"/>
    <numFmt numFmtId="181" formatCode="0.0;\-0.0;;@\ "/>
  </numFmts>
  <fonts count="25" x14ac:knownFonts="1">
    <font>
      <sz val="10"/>
      <name val="Arial"/>
    </font>
    <font>
      <sz val="8"/>
      <name val="Arial"/>
    </font>
    <font>
      <sz val="8"/>
      <name val="Arial"/>
      <family val="2"/>
    </font>
    <font>
      <b/>
      <sz val="8"/>
      <name val="Arial"/>
      <family val="2"/>
    </font>
    <font>
      <b/>
      <sz val="8"/>
      <name val="Arial"/>
    </font>
    <font>
      <u/>
      <sz val="10"/>
      <color indexed="12"/>
      <name val="Arial"/>
    </font>
    <font>
      <u/>
      <sz val="8"/>
      <color indexed="12"/>
      <name val="Arial"/>
    </font>
    <font>
      <sz val="14"/>
      <name val="Arial"/>
    </font>
    <font>
      <sz val="10"/>
      <name val="Arial"/>
      <family val="2"/>
    </font>
    <font>
      <sz val="10"/>
      <name val="Arial Black"/>
      <family val="2"/>
    </font>
    <font>
      <sz val="14"/>
      <name val="Arial Black"/>
      <family val="2"/>
    </font>
    <font>
      <b/>
      <sz val="10"/>
      <name val="Arial"/>
      <family val="2"/>
    </font>
    <font>
      <b/>
      <sz val="14"/>
      <color indexed="20"/>
      <name val="Arial"/>
      <family val="2"/>
    </font>
    <font>
      <b/>
      <sz val="14"/>
      <color indexed="12"/>
      <name val="Arial Black"/>
      <family val="2"/>
    </font>
    <font>
      <sz val="14"/>
      <color indexed="12"/>
      <name val="Arial Black"/>
      <family val="2"/>
    </font>
    <font>
      <sz val="7"/>
      <name val="Arial"/>
    </font>
    <font>
      <u/>
      <sz val="7"/>
      <color indexed="12"/>
      <name val="Arial"/>
      <family val="2"/>
    </font>
    <font>
      <b/>
      <sz val="8"/>
      <color indexed="12"/>
      <name val="Arial Black"/>
      <family val="2"/>
    </font>
    <font>
      <b/>
      <sz val="8"/>
      <color indexed="56"/>
      <name val="Arial"/>
      <family val="2"/>
    </font>
    <font>
      <sz val="10"/>
      <color indexed="56"/>
      <name val="Arial"/>
      <family val="2"/>
    </font>
    <font>
      <sz val="8"/>
      <color indexed="56"/>
      <name val="Arial"/>
      <family val="2"/>
    </font>
    <font>
      <u/>
      <sz val="10"/>
      <color indexed="56"/>
      <name val="Arial"/>
      <family val="2"/>
    </font>
    <font>
      <u/>
      <sz val="8"/>
      <color indexed="56"/>
      <name val="Arial"/>
      <family val="2"/>
    </font>
    <font>
      <b/>
      <i/>
      <sz val="8"/>
      <color indexed="10"/>
      <name val="Arial"/>
    </font>
    <font>
      <u/>
      <sz val="9"/>
      <color indexed="12"/>
      <name val="Arial"/>
    </font>
  </fonts>
  <fills count="7">
    <fill>
      <patternFill patternType="none"/>
    </fill>
    <fill>
      <patternFill patternType="gray125"/>
    </fill>
    <fill>
      <patternFill patternType="solid">
        <fgColor indexed="22"/>
        <bgColor indexed="64"/>
      </patternFill>
    </fill>
    <fill>
      <patternFill patternType="solid">
        <fgColor indexed="8"/>
        <bgColor indexed="64"/>
      </patternFill>
    </fill>
    <fill>
      <patternFill patternType="solid">
        <fgColor indexed="9"/>
        <bgColor indexed="64"/>
      </patternFill>
    </fill>
    <fill>
      <patternFill patternType="solid">
        <fgColor indexed="23"/>
        <bgColor indexed="64"/>
      </patternFill>
    </fill>
    <fill>
      <patternFill patternType="solid">
        <fgColor indexed="4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double">
        <color indexed="56"/>
      </left>
      <right/>
      <top style="double">
        <color indexed="56"/>
      </top>
      <bottom/>
      <diagonal/>
    </border>
    <border>
      <left/>
      <right/>
      <top style="double">
        <color indexed="56"/>
      </top>
      <bottom/>
      <diagonal/>
    </border>
    <border>
      <left/>
      <right style="double">
        <color indexed="56"/>
      </right>
      <top style="double">
        <color indexed="56"/>
      </top>
      <bottom/>
      <diagonal/>
    </border>
    <border>
      <left style="double">
        <color indexed="56"/>
      </left>
      <right/>
      <top/>
      <bottom/>
      <diagonal/>
    </border>
    <border>
      <left/>
      <right style="double">
        <color indexed="56"/>
      </right>
      <top/>
      <bottom/>
      <diagonal/>
    </border>
    <border>
      <left style="double">
        <color indexed="56"/>
      </left>
      <right/>
      <top/>
      <bottom style="double">
        <color indexed="56"/>
      </bottom>
      <diagonal/>
    </border>
    <border>
      <left/>
      <right/>
      <top/>
      <bottom style="double">
        <color indexed="56"/>
      </bottom>
      <diagonal/>
    </border>
    <border>
      <left/>
      <right style="double">
        <color indexed="56"/>
      </right>
      <top/>
      <bottom style="double">
        <color indexed="56"/>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diagonalDown="1">
      <left style="thin">
        <color indexed="64"/>
      </left>
      <right/>
      <top style="thin">
        <color indexed="64"/>
      </top>
      <bottom/>
      <diagonal style="thin">
        <color indexed="64"/>
      </diagonal>
    </border>
    <border diagonalDown="1">
      <left/>
      <right/>
      <top/>
      <bottom/>
      <diagonal style="thin">
        <color indexed="64"/>
      </diagonal>
    </border>
    <border diagonalDown="1">
      <left/>
      <right style="thin">
        <color indexed="64"/>
      </right>
      <top/>
      <bottom style="thin">
        <color indexed="64"/>
      </bottom>
      <diagonal style="thin">
        <color indexed="64"/>
      </diagonal>
    </border>
    <border>
      <left style="double">
        <color indexed="56"/>
      </left>
      <right style="double">
        <color indexed="56"/>
      </right>
      <top style="double">
        <color indexed="56"/>
      </top>
      <bottom/>
      <diagonal/>
    </border>
    <border>
      <left style="double">
        <color indexed="56"/>
      </left>
      <right style="double">
        <color indexed="56"/>
      </right>
      <top/>
      <bottom/>
      <diagonal/>
    </border>
    <border>
      <left style="double">
        <color indexed="56"/>
      </left>
      <right style="double">
        <color indexed="56"/>
      </right>
      <top/>
      <bottom style="double">
        <color indexed="56"/>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alignment vertical="top"/>
      <protection locked="0"/>
    </xf>
  </cellStyleXfs>
  <cellXfs count="256">
    <xf numFmtId="0" fontId="0" fillId="0" borderId="0" xfId="0"/>
    <xf numFmtId="0" fontId="3" fillId="2" borderId="1" xfId="0" applyFont="1" applyFill="1" applyBorder="1" applyAlignment="1" applyProtection="1">
      <alignment horizontal="center" vertical="center" wrapText="1"/>
      <protection hidden="1"/>
    </xf>
    <xf numFmtId="0" fontId="3" fillId="2" borderId="2" xfId="0" applyFont="1" applyFill="1" applyBorder="1" applyAlignment="1" applyProtection="1">
      <alignment horizontal="center" vertical="center" wrapText="1"/>
      <protection hidden="1"/>
    </xf>
    <xf numFmtId="0" fontId="1" fillId="3" borderId="0" xfId="0" applyFont="1" applyFill="1" applyProtection="1">
      <protection hidden="1"/>
    </xf>
    <xf numFmtId="176" fontId="1" fillId="3" borderId="0" xfId="0" applyNumberFormat="1" applyFont="1" applyFill="1" applyAlignment="1" applyProtection="1">
      <alignment horizontal="center"/>
      <protection hidden="1"/>
    </xf>
    <xf numFmtId="0" fontId="1" fillId="3" borderId="0" xfId="0" applyFont="1" applyFill="1" applyAlignment="1" applyProtection="1">
      <alignment wrapText="1"/>
      <protection hidden="1"/>
    </xf>
    <xf numFmtId="0" fontId="3" fillId="0" borderId="0" xfId="0" applyFont="1" applyBorder="1" applyAlignment="1" applyProtection="1">
      <alignment vertical="center" wrapText="1"/>
      <protection hidden="1"/>
    </xf>
    <xf numFmtId="0" fontId="0" fillId="3" borderId="0" xfId="0" applyFill="1" applyProtection="1">
      <protection hidden="1"/>
    </xf>
    <xf numFmtId="0" fontId="0" fillId="4" borderId="0" xfId="0" applyFill="1" applyProtection="1">
      <protection hidden="1"/>
    </xf>
    <xf numFmtId="0" fontId="0" fillId="4" borderId="3" xfId="0" applyFill="1" applyBorder="1" applyProtection="1">
      <protection hidden="1"/>
    </xf>
    <xf numFmtId="0" fontId="0" fillId="4" borderId="4" xfId="0" applyFill="1" applyBorder="1" applyProtection="1">
      <protection hidden="1"/>
    </xf>
    <xf numFmtId="0" fontId="0" fillId="4" borderId="5" xfId="0" applyFill="1" applyBorder="1" applyProtection="1">
      <protection hidden="1"/>
    </xf>
    <xf numFmtId="0" fontId="0" fillId="4" borderId="6" xfId="0" applyFill="1" applyBorder="1" applyProtection="1">
      <protection hidden="1"/>
    </xf>
    <xf numFmtId="0" fontId="0" fillId="4" borderId="0" xfId="0" applyFill="1" applyBorder="1" applyProtection="1">
      <protection hidden="1"/>
    </xf>
    <xf numFmtId="0" fontId="0" fillId="4" borderId="7" xfId="0" applyFill="1" applyBorder="1" applyProtection="1">
      <protection hidden="1"/>
    </xf>
    <xf numFmtId="0" fontId="1" fillId="4" borderId="6" xfId="0" applyFont="1" applyFill="1" applyBorder="1" applyAlignment="1" applyProtection="1">
      <alignment wrapText="1"/>
      <protection hidden="1"/>
    </xf>
    <xf numFmtId="0" fontId="1" fillId="4" borderId="7" xfId="0" applyFont="1" applyFill="1" applyBorder="1" applyAlignment="1" applyProtection="1">
      <alignment wrapText="1"/>
      <protection hidden="1"/>
    </xf>
    <xf numFmtId="0" fontId="1" fillId="4" borderId="0" xfId="0" applyFont="1" applyFill="1" applyProtection="1">
      <protection hidden="1"/>
    </xf>
    <xf numFmtId="0" fontId="1" fillId="4" borderId="6" xfId="0" applyFont="1" applyFill="1" applyBorder="1" applyProtection="1">
      <protection hidden="1"/>
    </xf>
    <xf numFmtId="0" fontId="6" fillId="4" borderId="0" xfId="1" applyFont="1" applyFill="1" applyBorder="1" applyAlignment="1" applyProtection="1">
      <alignment horizontal="center"/>
      <protection hidden="1"/>
    </xf>
    <xf numFmtId="0" fontId="1" fillId="4" borderId="7" xfId="0" applyFont="1" applyFill="1" applyBorder="1" applyProtection="1">
      <protection hidden="1"/>
    </xf>
    <xf numFmtId="0" fontId="0" fillId="4" borderId="8" xfId="0" applyFill="1" applyBorder="1" applyProtection="1">
      <protection hidden="1"/>
    </xf>
    <xf numFmtId="0" fontId="0" fillId="4" borderId="9" xfId="0" applyFill="1" applyBorder="1" applyProtection="1">
      <protection hidden="1"/>
    </xf>
    <xf numFmtId="0" fontId="0" fillId="4" borderId="10" xfId="0" applyFill="1" applyBorder="1" applyProtection="1">
      <protection hidden="1"/>
    </xf>
    <xf numFmtId="0" fontId="3" fillId="0" borderId="11" xfId="0" applyFont="1" applyBorder="1" applyAlignment="1" applyProtection="1">
      <alignment vertical="center" wrapText="1"/>
      <protection hidden="1"/>
    </xf>
    <xf numFmtId="0" fontId="0" fillId="0" borderId="0" xfId="0" applyFill="1" applyBorder="1" applyAlignment="1" applyProtection="1">
      <alignment horizontal="center" wrapText="1"/>
      <protection hidden="1"/>
    </xf>
    <xf numFmtId="0" fontId="0" fillId="0" borderId="1" xfId="0" applyFill="1" applyBorder="1" applyAlignment="1" applyProtection="1">
      <alignment horizontal="center"/>
      <protection hidden="1"/>
    </xf>
    <xf numFmtId="0" fontId="0" fillId="0" borderId="0" xfId="0" applyFill="1" applyBorder="1" applyProtection="1">
      <protection hidden="1"/>
    </xf>
    <xf numFmtId="0" fontId="0" fillId="0" borderId="0" xfId="0" applyFill="1" applyBorder="1" applyAlignment="1" applyProtection="1">
      <alignment horizontal="center"/>
      <protection hidden="1"/>
    </xf>
    <xf numFmtId="176" fontId="1" fillId="3" borderId="0" xfId="0" applyNumberFormat="1" applyFont="1" applyFill="1" applyBorder="1" applyAlignment="1" applyProtection="1">
      <alignment horizontal="center" vertical="center"/>
      <protection hidden="1"/>
    </xf>
    <xf numFmtId="176" fontId="1" fillId="2" borderId="1" xfId="0" applyNumberFormat="1" applyFont="1" applyFill="1" applyBorder="1" applyAlignment="1" applyProtection="1">
      <alignment horizontal="center" vertical="center"/>
      <protection hidden="1"/>
    </xf>
    <xf numFmtId="176" fontId="4" fillId="5" borderId="1" xfId="0" applyNumberFormat="1" applyFont="1" applyFill="1" applyBorder="1" applyAlignment="1" applyProtection="1">
      <alignment horizontal="center" vertical="center"/>
      <protection hidden="1"/>
    </xf>
    <xf numFmtId="0" fontId="7" fillId="0" borderId="0" xfId="0" applyFont="1" applyFill="1" applyBorder="1" applyAlignment="1" applyProtection="1">
      <alignment horizontal="center"/>
      <protection hidden="1"/>
    </xf>
    <xf numFmtId="0" fontId="9" fillId="0" borderId="0" xfId="0" applyFont="1" applyFill="1" applyBorder="1" applyAlignment="1" applyProtection="1">
      <alignment horizontal="center"/>
      <protection hidden="1"/>
    </xf>
    <xf numFmtId="0" fontId="10" fillId="0" borderId="0" xfId="0" applyFont="1" applyFill="1" applyBorder="1" applyAlignment="1" applyProtection="1">
      <alignment horizontal="center"/>
      <protection hidden="1"/>
    </xf>
    <xf numFmtId="0" fontId="7" fillId="0" borderId="1" xfId="0" applyFont="1" applyFill="1" applyBorder="1" applyAlignment="1" applyProtection="1">
      <alignment horizontal="center"/>
      <protection hidden="1"/>
    </xf>
    <xf numFmtId="0" fontId="11" fillId="0" borderId="1" xfId="0" applyFont="1" applyBorder="1" applyAlignment="1" applyProtection="1">
      <alignment horizontal="center" vertical="center" wrapText="1"/>
      <protection hidden="1"/>
    </xf>
    <xf numFmtId="0" fontId="8" fillId="0" borderId="1" xfId="0" applyFont="1" applyFill="1" applyBorder="1" applyProtection="1">
      <protection hidden="1"/>
    </xf>
    <xf numFmtId="0" fontId="11" fillId="0" borderId="1" xfId="0" applyFont="1" applyFill="1" applyBorder="1" applyAlignment="1" applyProtection="1">
      <alignment horizontal="center"/>
      <protection hidden="1"/>
    </xf>
    <xf numFmtId="179" fontId="1" fillId="2" borderId="1" xfId="0" applyNumberFormat="1" applyFont="1" applyFill="1" applyBorder="1" applyAlignment="1" applyProtection="1">
      <alignment horizontal="center" vertical="center"/>
      <protection hidden="1"/>
    </xf>
    <xf numFmtId="179" fontId="1" fillId="3" borderId="0" xfId="0" applyNumberFormat="1" applyFont="1" applyFill="1" applyBorder="1" applyAlignment="1" applyProtection="1">
      <alignment horizontal="center" vertical="center"/>
      <protection hidden="1"/>
    </xf>
    <xf numFmtId="179" fontId="1" fillId="3" borderId="0" xfId="0" applyNumberFormat="1" applyFont="1" applyFill="1" applyAlignment="1" applyProtection="1">
      <alignment horizontal="center"/>
      <protection hidden="1"/>
    </xf>
    <xf numFmtId="179" fontId="1" fillId="0" borderId="1" xfId="0" applyNumberFormat="1" applyFont="1" applyFill="1" applyBorder="1" applyAlignment="1" applyProtection="1">
      <alignment horizontal="center" vertical="center"/>
      <protection locked="0"/>
    </xf>
    <xf numFmtId="179" fontId="2" fillId="6" borderId="1" xfId="0" applyNumberFormat="1" applyFont="1" applyFill="1" applyBorder="1" applyAlignment="1" applyProtection="1">
      <alignment horizontal="center" vertical="center"/>
      <protection hidden="1"/>
    </xf>
    <xf numFmtId="179" fontId="2" fillId="5" borderId="1" xfId="0" applyNumberFormat="1" applyFont="1" applyFill="1" applyBorder="1" applyAlignment="1" applyProtection="1">
      <alignment horizontal="center" vertical="center"/>
      <protection hidden="1"/>
    </xf>
    <xf numFmtId="1" fontId="1" fillId="0" borderId="1" xfId="0" applyNumberFormat="1" applyFont="1" applyFill="1" applyBorder="1" applyAlignment="1" applyProtection="1">
      <alignment horizontal="center" vertical="center"/>
      <protection locked="0"/>
    </xf>
    <xf numFmtId="0" fontId="2" fillId="3" borderId="0" xfId="0" applyFont="1" applyFill="1" applyAlignment="1" applyProtection="1">
      <alignment vertical="center"/>
      <protection hidden="1"/>
    </xf>
    <xf numFmtId="176" fontId="1" fillId="4" borderId="0" xfId="0" applyNumberFormat="1" applyFont="1" applyFill="1" applyBorder="1" applyAlignment="1" applyProtection="1">
      <alignment horizontal="center" vertical="center"/>
      <protection hidden="1"/>
    </xf>
    <xf numFmtId="179" fontId="1" fillId="4" borderId="0" xfId="0" applyNumberFormat="1" applyFont="1" applyFill="1" applyBorder="1" applyAlignment="1" applyProtection="1">
      <alignment horizontal="center" vertical="center"/>
      <protection hidden="1"/>
    </xf>
    <xf numFmtId="179" fontId="1" fillId="4" borderId="12" xfId="0" applyNumberFormat="1" applyFont="1" applyFill="1" applyBorder="1" applyAlignment="1" applyProtection="1">
      <alignment horizontal="center" vertical="center"/>
      <protection hidden="1"/>
    </xf>
    <xf numFmtId="179" fontId="1" fillId="4" borderId="13" xfId="0" applyNumberFormat="1" applyFont="1" applyFill="1" applyBorder="1" applyAlignment="1" applyProtection="1">
      <alignment horizontal="center" vertical="center"/>
      <protection hidden="1"/>
    </xf>
    <xf numFmtId="0" fontId="1" fillId="4" borderId="0" xfId="0" applyFont="1" applyFill="1" applyAlignment="1" applyProtection="1">
      <alignment vertical="center"/>
      <protection hidden="1"/>
    </xf>
    <xf numFmtId="179" fontId="1" fillId="4" borderId="0" xfId="0" applyNumberFormat="1" applyFont="1" applyFill="1" applyAlignment="1" applyProtection="1">
      <alignment vertical="center"/>
      <protection hidden="1"/>
    </xf>
    <xf numFmtId="0" fontId="1" fillId="4" borderId="0" xfId="0" applyFont="1" applyFill="1" applyBorder="1" applyAlignment="1" applyProtection="1">
      <alignment vertical="center"/>
      <protection hidden="1"/>
    </xf>
    <xf numFmtId="0" fontId="3" fillId="4" borderId="0" xfId="0" applyFont="1" applyFill="1" applyBorder="1" applyAlignment="1" applyProtection="1">
      <alignment vertical="center"/>
      <protection hidden="1"/>
    </xf>
    <xf numFmtId="0" fontId="1" fillId="4" borderId="11" xfId="0" applyFont="1" applyFill="1" applyBorder="1" applyAlignment="1" applyProtection="1">
      <alignment vertical="center"/>
      <protection hidden="1"/>
    </xf>
    <xf numFmtId="0" fontId="1" fillId="4" borderId="12" xfId="0" applyFont="1" applyFill="1" applyBorder="1" applyAlignment="1" applyProtection="1">
      <alignment vertical="center"/>
      <protection hidden="1"/>
    </xf>
    <xf numFmtId="0" fontId="1" fillId="4" borderId="0" xfId="0" applyFont="1" applyFill="1" applyBorder="1" applyAlignment="1" applyProtection="1">
      <alignment horizontal="center" vertical="center"/>
      <protection hidden="1"/>
    </xf>
    <xf numFmtId="0" fontId="12" fillId="4" borderId="11" xfId="0" applyFont="1" applyFill="1" applyBorder="1" applyAlignment="1" applyProtection="1">
      <alignment vertical="center"/>
      <protection hidden="1"/>
    </xf>
    <xf numFmtId="0" fontId="14" fillId="4" borderId="0" xfId="0" applyFont="1" applyFill="1" applyBorder="1" applyAlignment="1" applyProtection="1">
      <alignment vertical="center"/>
      <protection hidden="1"/>
    </xf>
    <xf numFmtId="0" fontId="13" fillId="4" borderId="11" xfId="0" applyFont="1" applyFill="1" applyBorder="1" applyAlignment="1" applyProtection="1">
      <alignment vertical="center"/>
      <protection hidden="1"/>
    </xf>
    <xf numFmtId="0" fontId="7" fillId="4" borderId="11" xfId="0" applyFont="1" applyFill="1" applyBorder="1" applyAlignment="1" applyProtection="1">
      <alignment vertical="center"/>
      <protection hidden="1"/>
    </xf>
    <xf numFmtId="0" fontId="1" fillId="4" borderId="14" xfId="0" applyFont="1" applyFill="1" applyBorder="1" applyAlignment="1" applyProtection="1">
      <alignment vertical="center"/>
      <protection hidden="1"/>
    </xf>
    <xf numFmtId="0" fontId="1" fillId="4" borderId="15" xfId="0" applyFont="1" applyFill="1" applyBorder="1" applyAlignment="1" applyProtection="1">
      <alignment vertical="center"/>
      <protection hidden="1"/>
    </xf>
    <xf numFmtId="0" fontId="1" fillId="4" borderId="13" xfId="0" applyFont="1" applyFill="1" applyBorder="1" applyAlignment="1" applyProtection="1">
      <alignment vertical="center"/>
      <protection hidden="1"/>
    </xf>
    <xf numFmtId="0" fontId="1" fillId="3" borderId="0" xfId="0" applyFont="1" applyFill="1" applyAlignment="1" applyProtection="1">
      <alignment vertical="center"/>
      <protection hidden="1"/>
    </xf>
    <xf numFmtId="0" fontId="1" fillId="3" borderId="0" xfId="0" applyFont="1" applyFill="1" applyBorder="1" applyAlignment="1" applyProtection="1">
      <alignment horizontal="center" vertical="center"/>
      <protection hidden="1"/>
    </xf>
    <xf numFmtId="0" fontId="1" fillId="4" borderId="16" xfId="0" applyFont="1" applyFill="1" applyBorder="1" applyAlignment="1" applyProtection="1">
      <alignment vertical="center"/>
      <protection hidden="1"/>
    </xf>
    <xf numFmtId="0" fontId="1" fillId="4" borderId="17" xfId="0" applyFont="1" applyFill="1" applyBorder="1" applyAlignment="1" applyProtection="1">
      <alignment vertical="center"/>
      <protection hidden="1"/>
    </xf>
    <xf numFmtId="0" fontId="1" fillId="4" borderId="18" xfId="0" applyFont="1" applyFill="1" applyBorder="1" applyAlignment="1" applyProtection="1">
      <alignment vertical="center"/>
      <protection hidden="1"/>
    </xf>
    <xf numFmtId="0" fontId="2" fillId="3" borderId="0" xfId="0" applyFont="1" applyFill="1" applyBorder="1" applyAlignment="1" applyProtection="1">
      <alignment vertical="center"/>
      <protection hidden="1"/>
    </xf>
    <xf numFmtId="1" fontId="2" fillId="3" borderId="1" xfId="0" applyNumberFormat="1" applyFont="1" applyFill="1" applyBorder="1" applyAlignment="1" applyProtection="1">
      <alignment horizontal="center" vertical="center"/>
      <protection hidden="1"/>
    </xf>
    <xf numFmtId="1" fontId="2" fillId="3" borderId="2" xfId="0" applyNumberFormat="1" applyFont="1" applyFill="1" applyBorder="1" applyAlignment="1" applyProtection="1">
      <alignment horizontal="center" vertical="center"/>
      <protection hidden="1"/>
    </xf>
    <xf numFmtId="0" fontId="2" fillId="3" borderId="1" xfId="0" applyFont="1" applyFill="1" applyBorder="1" applyAlignment="1" applyProtection="1">
      <alignment vertical="center"/>
      <protection hidden="1"/>
    </xf>
    <xf numFmtId="0" fontId="2" fillId="3" borderId="2" xfId="0" applyFont="1" applyFill="1" applyBorder="1" applyAlignment="1" applyProtection="1">
      <alignment vertical="center"/>
      <protection hidden="1"/>
    </xf>
    <xf numFmtId="0" fontId="13" fillId="4" borderId="0" xfId="0" applyFont="1" applyFill="1" applyBorder="1" applyAlignment="1">
      <alignment vertical="center"/>
    </xf>
    <xf numFmtId="0" fontId="8" fillId="3" borderId="19" xfId="0" applyFont="1" applyFill="1" applyBorder="1" applyAlignment="1" applyProtection="1">
      <alignment horizontal="center" vertical="center"/>
      <protection hidden="1"/>
    </xf>
    <xf numFmtId="0" fontId="8" fillId="3" borderId="19" xfId="0" applyFont="1" applyFill="1" applyBorder="1" applyAlignment="1" applyProtection="1">
      <alignment vertical="center"/>
      <protection hidden="1"/>
    </xf>
    <xf numFmtId="176" fontId="8" fillId="3" borderId="1" xfId="0" applyNumberFormat="1" applyFont="1" applyFill="1" applyBorder="1" applyAlignment="1" applyProtection="1">
      <alignment horizontal="center" vertical="center"/>
      <protection hidden="1"/>
    </xf>
    <xf numFmtId="0" fontId="13" fillId="3" borderId="0" xfId="0" applyFont="1" applyFill="1" applyAlignment="1" applyProtection="1">
      <alignment vertical="center"/>
      <protection hidden="1"/>
    </xf>
    <xf numFmtId="0" fontId="13" fillId="3" borderId="0" xfId="0" applyFont="1" applyFill="1" applyBorder="1" applyAlignment="1" applyProtection="1">
      <alignment vertical="center"/>
      <protection hidden="1"/>
    </xf>
    <xf numFmtId="0" fontId="1" fillId="3" borderId="0" xfId="0" applyFont="1" applyFill="1" applyBorder="1" applyAlignment="1" applyProtection="1">
      <alignment vertical="center"/>
      <protection hidden="1"/>
    </xf>
    <xf numFmtId="0" fontId="7" fillId="3" borderId="2" xfId="0" applyFont="1" applyFill="1" applyBorder="1" applyAlignment="1" applyProtection="1">
      <alignment horizontal="center" vertical="center"/>
      <protection hidden="1"/>
    </xf>
    <xf numFmtId="0" fontId="1" fillId="3" borderId="1" xfId="0" applyFont="1" applyFill="1" applyBorder="1" applyAlignment="1" applyProtection="1">
      <alignment horizontal="center"/>
      <protection hidden="1"/>
    </xf>
    <xf numFmtId="0" fontId="1" fillId="3" borderId="0" xfId="0" applyFont="1" applyFill="1" applyBorder="1" applyAlignment="1" applyProtection="1">
      <alignment horizontal="center" vertical="center" textRotation="90" wrapText="1"/>
      <protection hidden="1"/>
    </xf>
    <xf numFmtId="1" fontId="1" fillId="3" borderId="0" xfId="0" applyNumberFormat="1" applyFont="1" applyFill="1" applyBorder="1" applyAlignment="1" applyProtection="1">
      <alignment horizontal="center" vertical="center"/>
      <protection hidden="1"/>
    </xf>
    <xf numFmtId="176" fontId="2" fillId="3" borderId="0" xfId="0" applyNumberFormat="1" applyFont="1" applyFill="1" applyBorder="1" applyAlignment="1" applyProtection="1">
      <alignment horizontal="center" vertical="center"/>
      <protection hidden="1"/>
    </xf>
    <xf numFmtId="0" fontId="2" fillId="3" borderId="0" xfId="0" applyFont="1" applyFill="1" applyBorder="1" applyAlignment="1" applyProtection="1">
      <alignment horizontal="center" vertical="center"/>
      <protection hidden="1"/>
    </xf>
    <xf numFmtId="9" fontId="2" fillId="3" borderId="0" xfId="0" applyNumberFormat="1" applyFont="1" applyFill="1" applyBorder="1" applyAlignment="1" applyProtection="1">
      <alignment horizontal="center" vertical="center"/>
      <protection hidden="1"/>
    </xf>
    <xf numFmtId="0" fontId="3" fillId="4" borderId="0" xfId="0" applyFont="1" applyFill="1" applyBorder="1" applyAlignment="1" applyProtection="1">
      <alignment horizontal="right" vertical="center"/>
      <protection hidden="1"/>
    </xf>
    <xf numFmtId="0" fontId="1" fillId="4" borderId="0" xfId="0" applyFont="1" applyFill="1" applyBorder="1" applyAlignment="1" applyProtection="1">
      <alignment horizontal="right" vertical="center"/>
      <protection hidden="1"/>
    </xf>
    <xf numFmtId="179" fontId="3" fillId="4" borderId="0" xfId="0" applyNumberFormat="1" applyFont="1" applyFill="1" applyBorder="1" applyAlignment="1" applyProtection="1">
      <alignment horizontal="right" vertical="center"/>
      <protection hidden="1"/>
    </xf>
    <xf numFmtId="179" fontId="1" fillId="4" borderId="0" xfId="0" applyNumberFormat="1" applyFont="1" applyFill="1" applyBorder="1" applyAlignment="1" applyProtection="1">
      <alignment horizontal="left" vertical="center" indent="1"/>
      <protection hidden="1"/>
    </xf>
    <xf numFmtId="0" fontId="1" fillId="4" borderId="0" xfId="0" applyFont="1" applyFill="1" applyBorder="1" applyAlignment="1" applyProtection="1">
      <alignment horizontal="left" vertical="center" indent="1"/>
      <protection hidden="1"/>
    </xf>
    <xf numFmtId="179" fontId="1" fillId="4" borderId="0" xfId="0" applyNumberFormat="1" applyFont="1" applyFill="1" applyBorder="1" applyAlignment="1" applyProtection="1">
      <alignment horizontal="right" vertical="center"/>
      <protection hidden="1"/>
    </xf>
    <xf numFmtId="0" fontId="4" fillId="5" borderId="20" xfId="0" applyFont="1" applyFill="1" applyBorder="1" applyAlignment="1" applyProtection="1">
      <alignment wrapText="1"/>
      <protection hidden="1"/>
    </xf>
    <xf numFmtId="0" fontId="4" fillId="5" borderId="17" xfId="0" applyFont="1" applyFill="1" applyBorder="1" applyAlignment="1" applyProtection="1">
      <alignment wrapText="1"/>
      <protection hidden="1"/>
    </xf>
    <xf numFmtId="0" fontId="4" fillId="5" borderId="12" xfId="0" applyFont="1" applyFill="1" applyBorder="1" applyAlignment="1" applyProtection="1">
      <alignment horizontal="right" wrapText="1"/>
      <protection hidden="1"/>
    </xf>
    <xf numFmtId="0" fontId="4" fillId="5" borderId="11" xfId="0" applyFont="1" applyFill="1" applyBorder="1" applyAlignment="1" applyProtection="1">
      <alignment wrapText="1"/>
      <protection hidden="1"/>
    </xf>
    <xf numFmtId="0" fontId="4" fillId="5" borderId="21" xfId="0" applyFont="1" applyFill="1" applyBorder="1" applyAlignment="1" applyProtection="1">
      <alignment wrapText="1"/>
      <protection hidden="1"/>
    </xf>
    <xf numFmtId="0" fontId="4" fillId="5" borderId="0" xfId="0" applyFont="1" applyFill="1" applyBorder="1" applyAlignment="1" applyProtection="1">
      <alignment wrapText="1"/>
      <protection hidden="1"/>
    </xf>
    <xf numFmtId="0" fontId="4" fillId="5" borderId="14" xfId="0" applyFont="1" applyFill="1" applyBorder="1" applyAlignment="1" applyProtection="1">
      <alignment horizontal="center" wrapText="1"/>
      <protection hidden="1"/>
    </xf>
    <xf numFmtId="0" fontId="4" fillId="5" borderId="15" xfId="0" applyFont="1" applyFill="1" applyBorder="1" applyAlignment="1" applyProtection="1">
      <alignment horizontal="center" wrapText="1"/>
      <protection hidden="1"/>
    </xf>
    <xf numFmtId="0" fontId="4" fillId="5" borderId="22" xfId="0" applyFont="1" applyFill="1" applyBorder="1" applyAlignment="1" applyProtection="1">
      <alignment wrapText="1"/>
      <protection hidden="1"/>
    </xf>
    <xf numFmtId="0" fontId="1" fillId="5" borderId="11" xfId="0" applyFont="1" applyFill="1" applyBorder="1" applyProtection="1">
      <protection hidden="1"/>
    </xf>
    <xf numFmtId="0" fontId="1" fillId="5" borderId="0" xfId="0" applyFont="1" applyFill="1" applyBorder="1" applyProtection="1">
      <protection hidden="1"/>
    </xf>
    <xf numFmtId="0" fontId="1" fillId="5" borderId="12" xfId="0" applyFont="1" applyFill="1" applyBorder="1" applyProtection="1">
      <protection hidden="1"/>
    </xf>
    <xf numFmtId="0" fontId="3" fillId="5" borderId="11" xfId="0" applyFont="1" applyFill="1" applyBorder="1" applyAlignment="1" applyProtection="1">
      <alignment horizontal="center"/>
      <protection hidden="1"/>
    </xf>
    <xf numFmtId="0" fontId="3" fillId="5" borderId="0" xfId="0" applyFont="1" applyFill="1" applyBorder="1" applyAlignment="1" applyProtection="1">
      <alignment horizontal="center"/>
      <protection hidden="1"/>
    </xf>
    <xf numFmtId="0" fontId="3" fillId="5" borderId="12" xfId="0" applyFont="1" applyFill="1" applyBorder="1" applyAlignment="1" applyProtection="1">
      <alignment horizontal="center"/>
      <protection hidden="1"/>
    </xf>
    <xf numFmtId="0" fontId="4" fillId="5" borderId="18" xfId="0" applyFont="1" applyFill="1" applyBorder="1" applyAlignment="1" applyProtection="1">
      <alignment horizontal="right" vertical="center" wrapText="1"/>
      <protection hidden="1"/>
    </xf>
    <xf numFmtId="179" fontId="1" fillId="4" borderId="0" xfId="0" applyNumberFormat="1" applyFont="1" applyFill="1" applyAlignment="1" applyProtection="1">
      <alignment horizontal="center" vertical="center"/>
      <protection hidden="1"/>
    </xf>
    <xf numFmtId="179" fontId="1" fillId="2" borderId="2" xfId="0" applyNumberFormat="1" applyFont="1" applyFill="1" applyBorder="1" applyAlignment="1" applyProtection="1">
      <alignment horizontal="center" vertical="center" wrapText="1"/>
      <protection hidden="1"/>
    </xf>
    <xf numFmtId="0" fontId="1" fillId="4" borderId="12" xfId="0" applyFont="1" applyFill="1" applyBorder="1" applyAlignment="1" applyProtection="1">
      <alignment horizontal="center" vertical="center"/>
      <protection hidden="1"/>
    </xf>
    <xf numFmtId="0" fontId="0" fillId="4" borderId="0" xfId="0" applyFill="1"/>
    <xf numFmtId="0" fontId="0" fillId="3" borderId="0" xfId="0" applyFill="1"/>
    <xf numFmtId="176" fontId="1" fillId="4" borderId="0" xfId="0" applyNumberFormat="1" applyFont="1" applyFill="1" applyAlignment="1" applyProtection="1">
      <alignment horizontal="center"/>
      <protection hidden="1"/>
    </xf>
    <xf numFmtId="179" fontId="1" fillId="4" borderId="0" xfId="0" applyNumberFormat="1" applyFont="1" applyFill="1" applyAlignment="1" applyProtection="1">
      <alignment horizontal="center"/>
      <protection hidden="1"/>
    </xf>
    <xf numFmtId="0" fontId="1" fillId="4" borderId="0" xfId="0" applyFont="1" applyFill="1" applyAlignment="1" applyProtection="1">
      <alignment wrapText="1"/>
      <protection hidden="1"/>
    </xf>
    <xf numFmtId="0" fontId="13" fillId="4" borderId="0" xfId="0" applyFont="1" applyFill="1" applyBorder="1" applyAlignment="1" applyProtection="1">
      <alignment vertical="center"/>
      <protection hidden="1"/>
    </xf>
    <xf numFmtId="0" fontId="17" fillId="4" borderId="0" xfId="0" applyFont="1" applyFill="1" applyBorder="1" applyAlignment="1" applyProtection="1">
      <alignment horizontal="left" vertical="center" indent="1"/>
      <protection hidden="1"/>
    </xf>
    <xf numFmtId="0" fontId="1" fillId="4" borderId="0" xfId="0" applyFont="1" applyFill="1" applyBorder="1" applyAlignment="1" applyProtection="1">
      <alignment wrapText="1"/>
      <protection hidden="1"/>
    </xf>
    <xf numFmtId="0" fontId="1" fillId="4" borderId="0" xfId="0" applyFont="1" applyFill="1" applyBorder="1" applyProtection="1">
      <protection hidden="1"/>
    </xf>
    <xf numFmtId="0" fontId="0" fillId="4" borderId="0" xfId="0" applyFill="1" applyBorder="1"/>
    <xf numFmtId="0" fontId="13" fillId="4" borderId="0" xfId="0" applyFont="1" applyFill="1" applyBorder="1" applyAlignment="1" applyProtection="1">
      <alignment vertical="center"/>
    </xf>
    <xf numFmtId="0" fontId="13" fillId="4" borderId="0" xfId="0" applyFont="1" applyFill="1" applyBorder="1" applyAlignment="1">
      <alignment horizontal="center" vertical="center"/>
    </xf>
    <xf numFmtId="0" fontId="15" fillId="4" borderId="0" xfId="0" applyFont="1" applyFill="1" applyAlignment="1" applyProtection="1">
      <alignment vertical="center"/>
      <protection hidden="1"/>
    </xf>
    <xf numFmtId="0" fontId="15" fillId="3" borderId="0" xfId="0" applyFont="1" applyFill="1" applyAlignment="1" applyProtection="1">
      <alignment vertical="center"/>
      <protection hidden="1"/>
    </xf>
    <xf numFmtId="0" fontId="1" fillId="4" borderId="0" xfId="0" applyFont="1" applyFill="1" applyBorder="1" applyAlignment="1" applyProtection="1">
      <alignment horizontal="center" wrapText="1"/>
      <protection hidden="1"/>
    </xf>
    <xf numFmtId="0" fontId="5" fillId="4" borderId="0" xfId="1" applyFill="1" applyBorder="1" applyAlignment="1" applyProtection="1">
      <alignment horizontal="center"/>
      <protection hidden="1"/>
    </xf>
    <xf numFmtId="0" fontId="0" fillId="4" borderId="0" xfId="0" applyFill="1" applyBorder="1" applyAlignment="1" applyProtection="1">
      <alignment horizontal="left"/>
      <protection hidden="1"/>
    </xf>
    <xf numFmtId="0" fontId="5" fillId="4" borderId="0" xfId="1" applyFill="1" applyBorder="1" applyAlignment="1" applyProtection="1">
      <alignment horizontal="center" wrapText="1"/>
      <protection hidden="1"/>
    </xf>
    <xf numFmtId="0" fontId="18" fillId="4" borderId="23" xfId="0" applyFont="1" applyFill="1" applyBorder="1" applyAlignment="1" applyProtection="1">
      <alignment horizontal="center"/>
      <protection hidden="1"/>
    </xf>
    <xf numFmtId="0" fontId="19" fillId="4" borderId="24" xfId="0" applyFont="1" applyFill="1" applyBorder="1" applyProtection="1">
      <protection hidden="1"/>
    </xf>
    <xf numFmtId="0" fontId="19" fillId="4" borderId="24" xfId="0" applyFont="1" applyFill="1" applyBorder="1" applyAlignment="1" applyProtection="1">
      <alignment horizontal="center"/>
      <protection hidden="1"/>
    </xf>
    <xf numFmtId="0" fontId="19" fillId="4" borderId="24" xfId="0" applyFont="1" applyFill="1" applyBorder="1" applyAlignment="1" applyProtection="1">
      <alignment horizontal="left"/>
      <protection hidden="1"/>
    </xf>
    <xf numFmtId="178" fontId="0" fillId="4" borderId="0" xfId="0" applyNumberFormat="1" applyFill="1" applyBorder="1" applyAlignment="1" applyProtection="1">
      <alignment horizontal="left"/>
      <protection hidden="1"/>
    </xf>
    <xf numFmtId="178" fontId="19" fillId="4" borderId="24" xfId="0" applyNumberFormat="1" applyFont="1" applyFill="1" applyBorder="1" applyAlignment="1" applyProtection="1">
      <alignment horizontal="left"/>
      <protection hidden="1"/>
    </xf>
    <xf numFmtId="0" fontId="20" fillId="4" borderId="24" xfId="0" applyFont="1" applyFill="1" applyBorder="1" applyAlignment="1" applyProtection="1">
      <alignment horizontal="center" wrapText="1"/>
      <protection hidden="1"/>
    </xf>
    <xf numFmtId="0" fontId="21" fillId="4" borderId="24" xfId="1" applyFont="1" applyFill="1" applyBorder="1" applyAlignment="1" applyProtection="1">
      <alignment horizontal="center"/>
      <protection hidden="1"/>
    </xf>
    <xf numFmtId="0" fontId="22" fillId="4" borderId="24" xfId="1" applyFont="1" applyFill="1" applyBorder="1" applyAlignment="1" applyProtection="1">
      <alignment horizontal="center"/>
      <protection hidden="1"/>
    </xf>
    <xf numFmtId="0" fontId="21" fillId="4" borderId="24" xfId="1" applyFont="1" applyFill="1" applyBorder="1" applyAlignment="1" applyProtection="1">
      <alignment horizontal="center" wrapText="1"/>
      <protection hidden="1"/>
    </xf>
    <xf numFmtId="0" fontId="19" fillId="4" borderId="25" xfId="0" applyFont="1" applyFill="1" applyBorder="1" applyProtection="1">
      <protection hidden="1"/>
    </xf>
    <xf numFmtId="0" fontId="1" fillId="4" borderId="0" xfId="0" applyFont="1" applyFill="1" applyBorder="1" applyAlignment="1" applyProtection="1">
      <alignment horizontal="left" vertical="center" indent="1"/>
      <protection locked="0"/>
    </xf>
    <xf numFmtId="0" fontId="1" fillId="4" borderId="15" xfId="0" applyFont="1" applyFill="1" applyBorder="1" applyAlignment="1" applyProtection="1">
      <alignment horizontal="left" vertical="center" indent="1"/>
      <protection locked="0"/>
    </xf>
    <xf numFmtId="0" fontId="3" fillId="5" borderId="16" xfId="0" applyFont="1" applyFill="1" applyBorder="1" applyAlignment="1" applyProtection="1">
      <alignment horizontal="center" vertical="center"/>
      <protection hidden="1"/>
    </xf>
    <xf numFmtId="0" fontId="3" fillId="5" borderId="17" xfId="0" applyFont="1" applyFill="1" applyBorder="1" applyAlignment="1" applyProtection="1">
      <alignment horizontal="center" vertical="center"/>
      <protection hidden="1"/>
    </xf>
    <xf numFmtId="0" fontId="3" fillId="5" borderId="18" xfId="0" applyFont="1" applyFill="1" applyBorder="1" applyAlignment="1" applyProtection="1">
      <alignment horizontal="center" vertical="center"/>
      <protection hidden="1"/>
    </xf>
    <xf numFmtId="0" fontId="3" fillId="5" borderId="14" xfId="0" applyFont="1" applyFill="1" applyBorder="1" applyAlignment="1" applyProtection="1">
      <alignment horizontal="center" vertical="center"/>
      <protection hidden="1"/>
    </xf>
    <xf numFmtId="0" fontId="3" fillId="5" borderId="15" xfId="0" applyFont="1" applyFill="1" applyBorder="1" applyAlignment="1" applyProtection="1">
      <alignment horizontal="center" vertical="center"/>
      <protection hidden="1"/>
    </xf>
    <xf numFmtId="0" fontId="3" fillId="5" borderId="13" xfId="0" applyFont="1" applyFill="1" applyBorder="1" applyAlignment="1" applyProtection="1">
      <alignment horizontal="center" vertical="center"/>
      <protection hidden="1"/>
    </xf>
    <xf numFmtId="0" fontId="12" fillId="4" borderId="11" xfId="0" applyFont="1" applyFill="1" applyBorder="1" applyAlignment="1" applyProtection="1">
      <alignment horizontal="center" vertical="center"/>
      <protection hidden="1"/>
    </xf>
    <xf numFmtId="0" fontId="1" fillId="4" borderId="0" xfId="0" applyFont="1" applyFill="1" applyBorder="1" applyAlignment="1" applyProtection="1">
      <alignment horizontal="center" vertical="center"/>
      <protection hidden="1"/>
    </xf>
    <xf numFmtId="0" fontId="1" fillId="4" borderId="12" xfId="0" applyFont="1" applyFill="1" applyBorder="1" applyAlignment="1" applyProtection="1">
      <alignment horizontal="center" vertical="center"/>
      <protection hidden="1"/>
    </xf>
    <xf numFmtId="0" fontId="3" fillId="4" borderId="0" xfId="0" applyFont="1" applyFill="1" applyBorder="1" applyAlignment="1" applyProtection="1">
      <alignment horizontal="right" vertical="center"/>
      <protection hidden="1"/>
    </xf>
    <xf numFmtId="14" fontId="1" fillId="4" borderId="0" xfId="0" applyNumberFormat="1" applyFont="1" applyFill="1" applyBorder="1" applyAlignment="1" applyProtection="1">
      <alignment horizontal="left" vertical="center" indent="1"/>
      <protection locked="0"/>
    </xf>
    <xf numFmtId="14" fontId="1" fillId="4" borderId="15" xfId="0" applyNumberFormat="1" applyFont="1" applyFill="1" applyBorder="1" applyAlignment="1" applyProtection="1">
      <alignment horizontal="left" vertical="center" indent="1"/>
      <protection locked="0"/>
    </xf>
    <xf numFmtId="0" fontId="1" fillId="0" borderId="28" xfId="0" applyFont="1" applyFill="1" applyBorder="1" applyAlignment="1" applyProtection="1">
      <alignment horizontal="center" textRotation="90"/>
      <protection locked="0"/>
    </xf>
    <xf numFmtId="0" fontId="1" fillId="0" borderId="1" xfId="0" applyFont="1" applyFill="1" applyBorder="1" applyAlignment="1" applyProtection="1">
      <alignment horizontal="center" textRotation="90"/>
      <protection locked="0"/>
    </xf>
    <xf numFmtId="0" fontId="1" fillId="0" borderId="14" xfId="0" applyFont="1" applyFill="1" applyBorder="1" applyAlignment="1" applyProtection="1">
      <alignment horizontal="center" vertical="center" textRotation="90" wrapText="1"/>
      <protection locked="0"/>
    </xf>
    <xf numFmtId="0" fontId="1" fillId="0" borderId="15" xfId="0" applyFont="1" applyFill="1" applyBorder="1" applyAlignment="1" applyProtection="1">
      <alignment horizontal="center" vertical="center" textRotation="90" wrapText="1"/>
      <protection locked="0"/>
    </xf>
    <xf numFmtId="0" fontId="1" fillId="0" borderId="13" xfId="0" applyFont="1" applyFill="1" applyBorder="1" applyAlignment="1" applyProtection="1">
      <alignment horizontal="center" vertical="center" textRotation="90" wrapText="1"/>
      <protection locked="0"/>
    </xf>
    <xf numFmtId="0" fontId="7" fillId="4" borderId="11" xfId="0" applyFont="1" applyFill="1" applyBorder="1" applyAlignment="1" applyProtection="1">
      <alignment horizontal="center" vertical="center"/>
      <protection hidden="1"/>
    </xf>
    <xf numFmtId="0" fontId="1" fillId="3" borderId="27" xfId="0" applyFont="1" applyFill="1" applyBorder="1" applyAlignment="1" applyProtection="1">
      <alignment horizontal="center" textRotation="90" wrapText="1"/>
      <protection hidden="1"/>
    </xf>
    <xf numFmtId="0" fontId="1" fillId="3" borderId="28" xfId="0" applyFont="1" applyFill="1" applyBorder="1" applyAlignment="1" applyProtection="1">
      <alignment horizontal="center" textRotation="90" wrapText="1"/>
      <protection hidden="1"/>
    </xf>
    <xf numFmtId="179" fontId="3" fillId="2" borderId="2" xfId="0" applyNumberFormat="1" applyFont="1" applyFill="1" applyBorder="1" applyAlignment="1" applyProtection="1">
      <alignment horizontal="center" vertical="center"/>
      <protection hidden="1"/>
    </xf>
    <xf numFmtId="179" fontId="3" fillId="2" borderId="26" xfId="0" applyNumberFormat="1" applyFont="1" applyFill="1" applyBorder="1" applyAlignment="1" applyProtection="1">
      <alignment horizontal="center" vertical="center"/>
      <protection hidden="1"/>
    </xf>
    <xf numFmtId="179" fontId="3" fillId="2" borderId="19" xfId="0" applyNumberFormat="1" applyFont="1" applyFill="1" applyBorder="1" applyAlignment="1" applyProtection="1">
      <alignment horizontal="center" vertical="center"/>
      <protection hidden="1"/>
    </xf>
    <xf numFmtId="0" fontId="15" fillId="4" borderId="0" xfId="0" applyFont="1" applyFill="1" applyAlignment="1" applyProtection="1">
      <alignment horizontal="right" vertical="center"/>
      <protection hidden="1"/>
    </xf>
    <xf numFmtId="0" fontId="13" fillId="4" borderId="11" xfId="0" applyFont="1" applyFill="1" applyBorder="1" applyAlignment="1" applyProtection="1">
      <alignment horizontal="center" vertical="center"/>
      <protection hidden="1"/>
    </xf>
    <xf numFmtId="0" fontId="4" fillId="5" borderId="2" xfId="0" applyFont="1" applyFill="1" applyBorder="1" applyAlignment="1" applyProtection="1">
      <alignment horizontal="center" vertical="center" wrapText="1"/>
      <protection hidden="1"/>
    </xf>
    <xf numFmtId="0" fontId="0" fillId="5" borderId="26" xfId="0" applyFill="1" applyBorder="1" applyProtection="1">
      <protection hidden="1"/>
    </xf>
    <xf numFmtId="0" fontId="0" fillId="5" borderId="19" xfId="0" applyFill="1" applyBorder="1" applyProtection="1">
      <protection hidden="1"/>
    </xf>
    <xf numFmtId="1" fontId="1" fillId="0" borderId="2" xfId="0" applyNumberFormat="1" applyFont="1" applyFill="1" applyBorder="1" applyAlignment="1" applyProtection="1">
      <alignment horizontal="center" vertical="center"/>
      <protection locked="0"/>
    </xf>
    <xf numFmtId="1" fontId="1" fillId="0" borderId="26" xfId="0" applyNumberFormat="1" applyFont="1" applyFill="1" applyBorder="1" applyAlignment="1" applyProtection="1">
      <alignment horizontal="center" vertical="center"/>
      <protection locked="0"/>
    </xf>
    <xf numFmtId="1" fontId="1" fillId="0" borderId="19" xfId="0" applyNumberFormat="1" applyFont="1" applyFill="1" applyBorder="1" applyAlignment="1" applyProtection="1">
      <alignment horizontal="center" vertical="center"/>
      <protection locked="0"/>
    </xf>
    <xf numFmtId="179" fontId="2" fillId="2" borderId="2" xfId="0" applyNumberFormat="1" applyFont="1" applyFill="1" applyBorder="1" applyAlignment="1" applyProtection="1">
      <alignment horizontal="center" vertical="center"/>
      <protection hidden="1"/>
    </xf>
    <xf numFmtId="179" fontId="2" fillId="2" borderId="26" xfId="0" applyNumberFormat="1" applyFont="1" applyFill="1" applyBorder="1" applyAlignment="1" applyProtection="1">
      <alignment horizontal="center" vertical="center"/>
      <protection hidden="1"/>
    </xf>
    <xf numFmtId="179" fontId="2" fillId="2" borderId="19" xfId="0" applyNumberFormat="1" applyFont="1" applyFill="1" applyBorder="1" applyAlignment="1" applyProtection="1">
      <alignment horizontal="center" vertical="center"/>
      <protection hidden="1"/>
    </xf>
    <xf numFmtId="181" fontId="2" fillId="2" borderId="2" xfId="0" applyNumberFormat="1" applyFont="1" applyFill="1" applyBorder="1" applyAlignment="1" applyProtection="1">
      <alignment horizontal="center" vertical="center"/>
      <protection hidden="1"/>
    </xf>
    <xf numFmtId="181" fontId="2" fillId="2" borderId="26" xfId="0" applyNumberFormat="1" applyFont="1" applyFill="1" applyBorder="1" applyAlignment="1" applyProtection="1">
      <alignment horizontal="center" vertical="center"/>
      <protection hidden="1"/>
    </xf>
    <xf numFmtId="181" fontId="2" fillId="2" borderId="19" xfId="0" applyNumberFormat="1" applyFont="1" applyFill="1" applyBorder="1" applyAlignment="1" applyProtection="1">
      <alignment horizontal="center" vertical="center"/>
      <protection hidden="1"/>
    </xf>
    <xf numFmtId="176" fontId="2" fillId="2" borderId="2" xfId="0" applyNumberFormat="1" applyFont="1" applyFill="1" applyBorder="1" applyAlignment="1" applyProtection="1">
      <alignment horizontal="center" vertical="center"/>
      <protection hidden="1"/>
    </xf>
    <xf numFmtId="176" fontId="2" fillId="2" borderId="26" xfId="0" applyNumberFormat="1" applyFont="1" applyFill="1" applyBorder="1" applyAlignment="1" applyProtection="1">
      <alignment horizontal="center" vertical="center"/>
      <protection hidden="1"/>
    </xf>
    <xf numFmtId="176" fontId="2" fillId="2" borderId="19" xfId="0" applyNumberFormat="1" applyFont="1" applyFill="1" applyBorder="1" applyAlignment="1" applyProtection="1">
      <alignment horizontal="center" vertical="center"/>
      <protection hidden="1"/>
    </xf>
    <xf numFmtId="0" fontId="12" fillId="0" borderId="2" xfId="0" applyFont="1" applyFill="1" applyBorder="1" applyAlignment="1" applyProtection="1">
      <alignment horizontal="center" vertical="center"/>
      <protection locked="0"/>
    </xf>
    <xf numFmtId="0" fontId="12" fillId="0" borderId="26" xfId="0" applyFont="1" applyFill="1" applyBorder="1" applyAlignment="1" applyProtection="1">
      <alignment horizontal="center" vertical="center"/>
      <protection locked="0"/>
    </xf>
    <xf numFmtId="0" fontId="12" fillId="0" borderId="19" xfId="0" applyFont="1" applyFill="1" applyBorder="1" applyAlignment="1" applyProtection="1">
      <alignment horizontal="center" vertical="center"/>
      <protection locked="0"/>
    </xf>
    <xf numFmtId="0" fontId="1" fillId="3" borderId="0" xfId="0" applyFont="1" applyFill="1" applyBorder="1" applyAlignment="1" applyProtection="1">
      <alignment horizontal="left" vertical="center" wrapText="1"/>
      <protection hidden="1"/>
    </xf>
    <xf numFmtId="0" fontId="13" fillId="4" borderId="0" xfId="0" applyFont="1" applyFill="1" applyBorder="1" applyAlignment="1" applyProtection="1">
      <alignment horizontal="center" vertical="center"/>
      <protection locked="0"/>
    </xf>
    <xf numFmtId="0" fontId="4" fillId="5" borderId="2" xfId="0" applyFont="1" applyFill="1" applyBorder="1" applyAlignment="1" applyProtection="1">
      <alignment horizontal="right" vertical="center" wrapText="1"/>
      <protection hidden="1"/>
    </xf>
    <xf numFmtId="0" fontId="4" fillId="5" borderId="19" xfId="0" applyFont="1" applyFill="1" applyBorder="1" applyAlignment="1" applyProtection="1">
      <alignment horizontal="right" vertical="center"/>
      <protection hidden="1"/>
    </xf>
    <xf numFmtId="0" fontId="4" fillId="5" borderId="1" xfId="0" applyFont="1" applyFill="1" applyBorder="1" applyAlignment="1" applyProtection="1">
      <alignment horizontal="center" vertical="center"/>
      <protection hidden="1"/>
    </xf>
    <xf numFmtId="0" fontId="1" fillId="0" borderId="1" xfId="0" applyFont="1" applyBorder="1" applyAlignment="1" applyProtection="1">
      <alignment vertical="center"/>
      <protection hidden="1"/>
    </xf>
    <xf numFmtId="179" fontId="4" fillId="5" borderId="27" xfId="0" applyNumberFormat="1" applyFont="1" applyFill="1" applyBorder="1" applyAlignment="1" applyProtection="1">
      <alignment horizontal="center" textRotation="90" wrapText="1"/>
      <protection hidden="1"/>
    </xf>
    <xf numFmtId="179" fontId="4" fillId="5" borderId="28" xfId="0" applyNumberFormat="1" applyFont="1" applyFill="1" applyBorder="1" applyAlignment="1" applyProtection="1">
      <alignment horizontal="center" textRotation="90" wrapText="1"/>
      <protection hidden="1"/>
    </xf>
    <xf numFmtId="0" fontId="7" fillId="0" borderId="2" xfId="0" applyFont="1" applyFill="1" applyBorder="1" applyAlignment="1" applyProtection="1">
      <alignment horizontal="center" vertical="center"/>
      <protection locked="0"/>
    </xf>
    <xf numFmtId="0" fontId="7" fillId="0" borderId="26" xfId="0" applyFont="1" applyFill="1" applyBorder="1" applyAlignment="1" applyProtection="1">
      <alignment horizontal="center" vertical="center"/>
      <protection locked="0"/>
    </xf>
    <xf numFmtId="0" fontId="7" fillId="0" borderId="19" xfId="0" applyFont="1" applyFill="1" applyBorder="1" applyAlignment="1" applyProtection="1">
      <alignment horizontal="center" vertical="center"/>
      <protection locked="0"/>
    </xf>
    <xf numFmtId="176" fontId="4" fillId="5" borderId="27" xfId="0" applyNumberFormat="1" applyFont="1" applyFill="1" applyBorder="1" applyAlignment="1" applyProtection="1">
      <alignment horizontal="center" textRotation="90" wrapText="1"/>
      <protection hidden="1"/>
    </xf>
    <xf numFmtId="176" fontId="4" fillId="5" borderId="28" xfId="0" applyNumberFormat="1" applyFont="1" applyFill="1" applyBorder="1" applyAlignment="1" applyProtection="1">
      <alignment horizontal="center" textRotation="90" wrapText="1"/>
      <protection hidden="1"/>
    </xf>
    <xf numFmtId="0" fontId="1" fillId="5" borderId="19" xfId="0" applyFont="1" applyFill="1" applyBorder="1" applyAlignment="1" applyProtection="1">
      <alignment horizontal="right" vertical="center"/>
      <protection hidden="1"/>
    </xf>
    <xf numFmtId="0" fontId="1" fillId="0" borderId="16" xfId="0" applyFont="1" applyFill="1" applyBorder="1" applyAlignment="1" applyProtection="1">
      <alignment horizontal="center" textRotation="90" wrapText="1"/>
      <protection locked="0"/>
    </xf>
    <xf numFmtId="0" fontId="1" fillId="0" borderId="17" xfId="0" applyFont="1" applyFill="1" applyBorder="1" applyAlignment="1" applyProtection="1">
      <alignment horizontal="center" textRotation="90" wrapText="1"/>
      <protection locked="0"/>
    </xf>
    <xf numFmtId="0" fontId="1" fillId="0" borderId="18" xfId="0" applyFont="1" applyFill="1" applyBorder="1" applyAlignment="1" applyProtection="1">
      <alignment horizontal="center" textRotation="90" wrapText="1"/>
      <protection locked="0"/>
    </xf>
    <xf numFmtId="0" fontId="1" fillId="0" borderId="14" xfId="0" applyFont="1" applyFill="1" applyBorder="1" applyAlignment="1" applyProtection="1">
      <alignment horizontal="center" textRotation="90" wrapText="1"/>
      <protection locked="0"/>
    </xf>
    <xf numFmtId="0" fontId="1" fillId="0" borderId="15" xfId="0" applyFont="1" applyFill="1" applyBorder="1" applyAlignment="1" applyProtection="1">
      <alignment horizontal="center" textRotation="90" wrapText="1"/>
      <protection locked="0"/>
    </xf>
    <xf numFmtId="0" fontId="1" fillId="0" borderId="13" xfId="0" applyFont="1" applyFill="1" applyBorder="1" applyAlignment="1" applyProtection="1">
      <alignment horizontal="center" textRotation="90" wrapText="1"/>
      <protection locked="0"/>
    </xf>
    <xf numFmtId="0" fontId="2" fillId="6" borderId="2" xfId="0" applyFont="1" applyFill="1" applyBorder="1" applyAlignment="1" applyProtection="1">
      <alignment horizontal="center" vertical="center"/>
      <protection hidden="1"/>
    </xf>
    <xf numFmtId="0" fontId="2" fillId="0" borderId="26"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7" fillId="0" borderId="1" xfId="0" applyFont="1" applyFill="1" applyBorder="1" applyAlignment="1" applyProtection="1">
      <alignment horizontal="center" vertical="center"/>
      <protection locked="0"/>
    </xf>
    <xf numFmtId="0" fontId="12" fillId="0" borderId="1" xfId="0" applyFont="1" applyFill="1" applyBorder="1" applyAlignment="1" applyProtection="1">
      <alignment horizontal="center" vertical="center"/>
      <protection locked="0"/>
    </xf>
    <xf numFmtId="1" fontId="1" fillId="0" borderId="1" xfId="0" applyNumberFormat="1" applyFont="1" applyFill="1" applyBorder="1" applyAlignment="1" applyProtection="1">
      <alignment horizontal="center" vertical="center"/>
      <protection locked="0"/>
    </xf>
    <xf numFmtId="0" fontId="1" fillId="0" borderId="28" xfId="0" applyFont="1" applyFill="1" applyBorder="1" applyAlignment="1" applyProtection="1">
      <alignment horizontal="center" vertical="center" textRotation="90" wrapText="1"/>
      <protection locked="0"/>
    </xf>
    <xf numFmtId="0" fontId="1" fillId="4" borderId="0" xfId="0" applyFont="1" applyFill="1" applyBorder="1" applyAlignment="1" applyProtection="1">
      <alignment horizontal="left" vertical="center" wrapText="1"/>
      <protection hidden="1"/>
    </xf>
    <xf numFmtId="0" fontId="2" fillId="5" borderId="2" xfId="0" applyFont="1" applyFill="1" applyBorder="1" applyAlignment="1" applyProtection="1">
      <alignment horizontal="left" vertical="center" wrapText="1"/>
      <protection hidden="1"/>
    </xf>
    <xf numFmtId="0" fontId="2" fillId="5" borderId="19" xfId="0" applyFont="1" applyFill="1" applyBorder="1" applyAlignment="1" applyProtection="1">
      <alignment horizontal="left" vertical="center" wrapText="1"/>
      <protection hidden="1"/>
    </xf>
    <xf numFmtId="0" fontId="1" fillId="0" borderId="2" xfId="0" applyFont="1" applyFill="1" applyBorder="1" applyAlignment="1" applyProtection="1">
      <alignment horizontal="left" vertical="center" wrapText="1"/>
      <protection locked="0"/>
    </xf>
    <xf numFmtId="0" fontId="1" fillId="0" borderId="19" xfId="0" applyFont="1" applyFill="1" applyBorder="1" applyAlignment="1" applyProtection="1">
      <alignment horizontal="left" vertical="center" wrapText="1"/>
      <protection locked="0"/>
    </xf>
    <xf numFmtId="0" fontId="4" fillId="5" borderId="19" xfId="0" applyFont="1" applyFill="1" applyBorder="1" applyAlignment="1" applyProtection="1">
      <alignment horizontal="center" vertical="center" wrapText="1"/>
      <protection hidden="1"/>
    </xf>
    <xf numFmtId="0" fontId="4" fillId="5" borderId="14" xfId="0" applyFont="1" applyFill="1" applyBorder="1" applyAlignment="1" applyProtection="1">
      <alignment horizontal="center" vertical="center" wrapText="1"/>
      <protection hidden="1"/>
    </xf>
    <xf numFmtId="0" fontId="4" fillId="5" borderId="13" xfId="0" applyFont="1" applyFill="1" applyBorder="1" applyAlignment="1" applyProtection="1">
      <alignment horizontal="center" vertical="center" wrapText="1"/>
      <protection hidden="1"/>
    </xf>
    <xf numFmtId="0" fontId="2" fillId="0" borderId="26" xfId="0" applyFont="1" applyBorder="1" applyAlignment="1" applyProtection="1">
      <alignment vertical="center"/>
      <protection hidden="1"/>
    </xf>
    <xf numFmtId="0" fontId="2" fillId="0" borderId="19" xfId="0" applyFont="1" applyBorder="1" applyAlignment="1" applyProtection="1">
      <alignment vertical="center"/>
      <protection hidden="1"/>
    </xf>
    <xf numFmtId="0" fontId="15" fillId="4" borderId="11" xfId="0" applyFont="1" applyFill="1" applyBorder="1" applyAlignment="1" applyProtection="1">
      <alignment horizontal="right" vertical="center"/>
      <protection hidden="1"/>
    </xf>
    <xf numFmtId="0" fontId="15" fillId="4" borderId="0" xfId="0" applyFont="1" applyFill="1" applyBorder="1" applyAlignment="1" applyProtection="1">
      <alignment horizontal="right" vertical="center"/>
      <protection hidden="1"/>
    </xf>
    <xf numFmtId="0" fontId="4" fillId="5" borderId="0" xfId="0" applyFont="1" applyFill="1" applyBorder="1" applyAlignment="1" applyProtection="1">
      <alignment horizontal="right" vertical="center" wrapText="1"/>
      <protection hidden="1"/>
    </xf>
    <xf numFmtId="0" fontId="4" fillId="5" borderId="12" xfId="0" applyFont="1" applyFill="1" applyBorder="1" applyAlignment="1" applyProtection="1">
      <alignment horizontal="right" vertical="center" wrapText="1"/>
      <protection hidden="1"/>
    </xf>
    <xf numFmtId="0" fontId="4" fillId="5" borderId="0" xfId="0" applyFont="1" applyFill="1" applyBorder="1" applyAlignment="1" applyProtection="1">
      <alignment horizontal="center" wrapText="1"/>
      <protection hidden="1"/>
    </xf>
    <xf numFmtId="0" fontId="4" fillId="5" borderId="15" xfId="0" applyFont="1" applyFill="1" applyBorder="1" applyAlignment="1" applyProtection="1">
      <alignment horizontal="center" wrapText="1"/>
      <protection hidden="1"/>
    </xf>
    <xf numFmtId="0" fontId="2" fillId="5" borderId="26" xfId="0" applyFont="1" applyFill="1" applyBorder="1" applyAlignment="1" applyProtection="1">
      <alignment horizontal="left" vertical="center" wrapText="1"/>
      <protection hidden="1"/>
    </xf>
    <xf numFmtId="0" fontId="4" fillId="5" borderId="26" xfId="0" applyFont="1" applyFill="1" applyBorder="1" applyAlignment="1" applyProtection="1">
      <alignment horizontal="center" vertical="center" wrapText="1"/>
      <protection hidden="1"/>
    </xf>
    <xf numFmtId="0" fontId="4" fillId="5" borderId="15" xfId="0" applyFont="1" applyFill="1" applyBorder="1" applyAlignment="1" applyProtection="1">
      <alignment horizontal="center" vertical="center" wrapText="1"/>
      <protection hidden="1"/>
    </xf>
    <xf numFmtId="0" fontId="1" fillId="2" borderId="2" xfId="0" applyFont="1" applyFill="1" applyBorder="1" applyAlignment="1" applyProtection="1">
      <alignment horizontal="left" vertical="center" wrapText="1"/>
      <protection hidden="1"/>
    </xf>
    <xf numFmtId="0" fontId="1" fillId="2" borderId="26" xfId="0" applyFont="1" applyFill="1" applyBorder="1" applyAlignment="1" applyProtection="1">
      <alignment horizontal="left" vertical="center" wrapText="1"/>
      <protection hidden="1"/>
    </xf>
    <xf numFmtId="0" fontId="1" fillId="2" borderId="19" xfId="0" applyFont="1" applyFill="1" applyBorder="1" applyAlignment="1" applyProtection="1">
      <alignment horizontal="left" vertical="center" wrapText="1"/>
      <protection hidden="1"/>
    </xf>
    <xf numFmtId="0" fontId="1" fillId="0" borderId="11" xfId="0" applyFont="1" applyFill="1" applyBorder="1" applyAlignment="1" applyProtection="1">
      <alignment horizontal="center" textRotation="90" wrapText="1"/>
      <protection locked="0"/>
    </xf>
    <xf numFmtId="0" fontId="1" fillId="0" borderId="0" xfId="0" applyFont="1" applyFill="1" applyBorder="1" applyAlignment="1" applyProtection="1">
      <alignment horizontal="center" textRotation="90" wrapText="1"/>
      <protection locked="0"/>
    </xf>
    <xf numFmtId="0" fontId="1" fillId="0" borderId="12" xfId="0" applyFont="1" applyFill="1" applyBorder="1" applyAlignment="1" applyProtection="1">
      <alignment horizontal="center" textRotation="90" wrapText="1"/>
      <protection locked="0"/>
    </xf>
    <xf numFmtId="176" fontId="4" fillId="5" borderId="29" xfId="0" applyNumberFormat="1" applyFont="1" applyFill="1" applyBorder="1" applyAlignment="1" applyProtection="1">
      <alignment horizontal="center" textRotation="90" wrapText="1"/>
      <protection hidden="1"/>
    </xf>
    <xf numFmtId="179" fontId="4" fillId="5" borderId="29" xfId="0" applyNumberFormat="1" applyFont="1" applyFill="1" applyBorder="1" applyAlignment="1" applyProtection="1">
      <alignment horizontal="center" textRotation="90" wrapText="1"/>
      <protection hidden="1"/>
    </xf>
    <xf numFmtId="0" fontId="4" fillId="5" borderId="26" xfId="0" applyFont="1" applyFill="1" applyBorder="1" applyAlignment="1" applyProtection="1">
      <alignment horizontal="right" vertical="center" wrapText="1"/>
      <protection hidden="1"/>
    </xf>
    <xf numFmtId="0" fontId="24" fillId="4" borderId="0" xfId="1" applyFont="1" applyFill="1" applyBorder="1" applyAlignment="1" applyProtection="1">
      <alignment horizontal="center"/>
      <protection hidden="1"/>
    </xf>
    <xf numFmtId="0" fontId="1" fillId="4" borderId="0" xfId="0" applyFont="1" applyFill="1" applyBorder="1" applyAlignment="1" applyProtection="1">
      <alignment horizontal="center" wrapText="1"/>
      <protection hidden="1"/>
    </xf>
    <xf numFmtId="0" fontId="0" fillId="4" borderId="16" xfId="0" applyFill="1" applyBorder="1" applyAlignment="1" applyProtection="1">
      <alignment horizontal="left"/>
      <protection hidden="1"/>
    </xf>
    <xf numFmtId="0" fontId="0" fillId="4" borderId="17" xfId="0" applyFill="1" applyBorder="1" applyAlignment="1" applyProtection="1">
      <alignment horizontal="left"/>
      <protection hidden="1"/>
    </xf>
    <xf numFmtId="0" fontId="0" fillId="4" borderId="11" xfId="0" applyFill="1" applyBorder="1" applyAlignment="1" applyProtection="1">
      <alignment horizontal="left"/>
      <protection hidden="1"/>
    </xf>
    <xf numFmtId="0" fontId="0" fillId="4" borderId="0" xfId="0" applyFill="1" applyBorder="1" applyAlignment="1" applyProtection="1">
      <alignment horizontal="left"/>
      <protection hidden="1"/>
    </xf>
    <xf numFmtId="0" fontId="0" fillId="4" borderId="14" xfId="0" applyFill="1" applyBorder="1" applyAlignment="1" applyProtection="1">
      <alignment horizontal="left"/>
      <protection hidden="1"/>
    </xf>
    <xf numFmtId="0" fontId="0" fillId="4" borderId="15" xfId="0" applyFill="1" applyBorder="1" applyAlignment="1" applyProtection="1">
      <alignment horizontal="left"/>
      <protection hidden="1"/>
    </xf>
    <xf numFmtId="0" fontId="0" fillId="4" borderId="18" xfId="0" applyFill="1" applyBorder="1" applyAlignment="1" applyProtection="1">
      <alignment horizontal="left"/>
      <protection hidden="1"/>
    </xf>
    <xf numFmtId="0" fontId="0" fillId="4" borderId="12" xfId="0" applyFill="1" applyBorder="1" applyAlignment="1" applyProtection="1">
      <alignment horizontal="left"/>
      <protection hidden="1"/>
    </xf>
    <xf numFmtId="178" fontId="0" fillId="4" borderId="15" xfId="0" applyNumberFormat="1" applyFill="1" applyBorder="1" applyAlignment="1" applyProtection="1">
      <alignment horizontal="left"/>
      <protection hidden="1"/>
    </xf>
    <xf numFmtId="178" fontId="0" fillId="4" borderId="13" xfId="0" applyNumberFormat="1" applyFill="1" applyBorder="1" applyAlignment="1" applyProtection="1">
      <alignment horizontal="left"/>
      <protection hidden="1"/>
    </xf>
    <xf numFmtId="0" fontId="24" fillId="4" borderId="0" xfId="1" applyFont="1" applyFill="1" applyBorder="1" applyAlignment="1" applyProtection="1">
      <alignment horizontal="center" wrapText="1"/>
      <protection hidden="1"/>
    </xf>
  </cellXfs>
  <cellStyles count="2">
    <cellStyle name="Hipervínculo" xfId="1" builtinId="8"/>
    <cellStyle name="Normal" xfId="0" builtinId="0"/>
  </cellStyles>
  <dxfs count="46">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border>
        <left/>
        <right/>
        <top/>
        <bottom/>
      </border>
    </dxf>
    <dxf>
      <fill>
        <patternFill>
          <bgColor indexed="10"/>
        </patternFill>
      </fill>
      <border>
        <left/>
        <right/>
        <top/>
        <bottom/>
      </border>
    </dxf>
    <dxf>
      <fill>
        <patternFill>
          <bgColor indexed="55"/>
        </patternFill>
      </fill>
      <border>
        <left style="thin">
          <color indexed="64"/>
        </left>
        <right style="thin">
          <color indexed="64"/>
        </right>
        <top style="thin">
          <color indexed="64"/>
        </top>
        <bottom style="thin">
          <color indexed="64"/>
        </bottom>
      </border>
    </dxf>
    <dxf>
      <font>
        <condense val="0"/>
        <extend val="0"/>
        <color indexed="9"/>
      </font>
    </dxf>
    <dxf>
      <fill>
        <patternFill>
          <bgColor indexed="22"/>
        </patternFill>
      </fill>
      <border>
        <left style="thin">
          <color indexed="64"/>
        </left>
        <right style="thin">
          <color indexed="64"/>
        </right>
        <top style="thin">
          <color indexed="64"/>
        </top>
        <bottom style="thin">
          <color indexed="64"/>
        </bottom>
      </border>
    </dxf>
    <dxf>
      <fill>
        <patternFill>
          <bgColor indexed="22"/>
        </patternFill>
      </fill>
      <border>
        <left style="thin">
          <color indexed="64"/>
        </left>
        <right style="thin">
          <color indexed="64"/>
        </right>
        <top style="thin">
          <color indexed="64"/>
        </top>
        <bottom style="thin">
          <color indexed="64"/>
        </bottom>
      </border>
    </dxf>
    <dxf>
      <fill>
        <patternFill patternType="none">
          <bgColor indexed="65"/>
        </patternFill>
      </fill>
      <border>
        <left style="thin">
          <color indexed="64"/>
        </left>
        <right style="thin">
          <color indexed="64"/>
        </right>
        <top style="thin">
          <color indexed="64"/>
        </top>
        <bottom style="thin">
          <color indexed="64"/>
        </bottom>
      </border>
    </dxf>
    <dxf>
      <fill>
        <patternFill>
          <bgColor indexed="55"/>
        </patternFill>
      </fill>
      <border>
        <left style="thin">
          <color indexed="64"/>
        </left>
        <right style="thin">
          <color indexed="64"/>
        </right>
        <top style="thin">
          <color indexed="64"/>
        </top>
        <bottom style="thin">
          <color indexed="64"/>
        </bottom>
      </border>
    </dxf>
    <dxf>
      <fill>
        <patternFill>
          <bgColor indexed="43"/>
        </patternFill>
      </fill>
      <border>
        <left/>
        <right/>
        <top/>
        <bottom/>
      </border>
    </dxf>
    <dxf>
      <fill>
        <patternFill>
          <bgColor indexed="10"/>
        </patternFill>
      </fill>
      <border>
        <left/>
        <right/>
        <top/>
        <bottom/>
      </border>
    </dxf>
    <dxf>
      <border>
        <left style="thin">
          <color indexed="64"/>
        </left>
        <right style="thin">
          <color indexed="64"/>
        </right>
        <top style="thin">
          <color indexed="64"/>
        </top>
        <bottom style="thin">
          <color indexed="64"/>
        </bottom>
      </border>
    </dxf>
    <dxf>
      <fill>
        <patternFill>
          <bgColor indexed="43"/>
        </patternFill>
      </fill>
    </dxf>
    <dxf>
      <fill>
        <patternFill>
          <bgColor indexed="10"/>
        </patternFill>
      </fill>
    </dxf>
    <dxf>
      <fill>
        <patternFill>
          <bgColor indexed="43"/>
        </patternFill>
      </fill>
    </dxf>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7694818533402257E-2"/>
          <c:y val="0.44978041809034491"/>
          <c:w val="0.83080004563720955"/>
          <c:h val="0.52221258931528358"/>
        </c:manualLayout>
      </c:layout>
      <c:scatterChart>
        <c:scatterStyle val="lineMarker"/>
        <c:varyColors val="0"/>
        <c:ser>
          <c:idx val="1"/>
          <c:order val="0"/>
          <c:tx>
            <c:strRef>
              <c:f>'House of Quality 1'!$CT$49</c:f>
              <c:strCache>
                <c:ptCount val="1"/>
                <c:pt idx="0">
                  <c:v>Our Company</c:v>
                </c:pt>
              </c:strCache>
            </c:strRef>
          </c:tx>
          <c:spPr>
            <a:ln w="12700">
              <a:solidFill>
                <a:srgbClr val="FF00FF"/>
              </a:solidFill>
              <a:prstDash val="solid"/>
            </a:ln>
          </c:spPr>
          <c:marker>
            <c:symbol val="star"/>
            <c:size val="5"/>
            <c:spPr>
              <a:solidFill>
                <a:srgbClr val="FF00FF"/>
              </a:solidFill>
              <a:ln>
                <a:solidFill>
                  <a:srgbClr val="FF00FF"/>
                </a:solidFill>
                <a:prstDash val="solid"/>
              </a:ln>
            </c:spPr>
          </c:marker>
          <c:xVal>
            <c:numRef>
              <c:f>'House of Quality 1'!$CT$51:$CT$60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0-A97D-46A5-A5DA-D3A60981E7EB}"/>
            </c:ext>
          </c:extLst>
        </c:ser>
        <c:ser>
          <c:idx val="2"/>
          <c:order val="1"/>
          <c:tx>
            <c:strRef>
              <c:f>'House of Quality 1'!$CU$49</c:f>
              <c:strCache>
                <c:ptCount val="1"/>
                <c:pt idx="0">
                  <c:v>Competitor 1</c:v>
                </c:pt>
              </c:strCache>
            </c:strRef>
          </c:tx>
          <c:spPr>
            <a:ln w="12700">
              <a:solidFill>
                <a:srgbClr val="00FF00"/>
              </a:solidFill>
              <a:prstDash val="solid"/>
            </a:ln>
          </c:spPr>
          <c:marker>
            <c:symbol val="triangle"/>
            <c:size val="7"/>
            <c:spPr>
              <a:solidFill>
                <a:srgbClr val="00FF00"/>
              </a:solidFill>
              <a:ln>
                <a:solidFill>
                  <a:srgbClr val="00FF00"/>
                </a:solidFill>
                <a:prstDash val="solid"/>
              </a:ln>
            </c:spPr>
          </c:marker>
          <c:xVal>
            <c:numRef>
              <c:f>'House of Quality 1'!$CU$51:$CU$60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1-A97D-46A5-A5DA-D3A60981E7EB}"/>
            </c:ext>
          </c:extLst>
        </c:ser>
        <c:ser>
          <c:idx val="3"/>
          <c:order val="2"/>
          <c:tx>
            <c:strRef>
              <c:f>'House of Quality 1'!$CV$49</c:f>
              <c:strCache>
                <c:ptCount val="1"/>
                <c:pt idx="0">
                  <c:v>Competitor 2</c:v>
                </c:pt>
              </c:strCache>
            </c:strRef>
          </c:tx>
          <c:spPr>
            <a:ln w="12700">
              <a:solidFill>
                <a:srgbClr val="3366FF"/>
              </a:solidFill>
              <a:prstDash val="solid"/>
            </a:ln>
          </c:spPr>
          <c:marker>
            <c:symbol val="x"/>
            <c:size val="7"/>
            <c:spPr>
              <a:noFill/>
              <a:ln>
                <a:solidFill>
                  <a:srgbClr val="3366FF"/>
                </a:solidFill>
                <a:prstDash val="solid"/>
              </a:ln>
            </c:spPr>
          </c:marker>
          <c:xVal>
            <c:numRef>
              <c:f>'House of Quality 1'!$CV$51:$CV$60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2-A97D-46A5-A5DA-D3A60981E7EB}"/>
            </c:ext>
          </c:extLst>
        </c:ser>
        <c:ser>
          <c:idx val="4"/>
          <c:order val="3"/>
          <c:tx>
            <c:strRef>
              <c:f>'House of Quality 1'!$CW$49</c:f>
              <c:strCache>
                <c:ptCount val="1"/>
                <c:pt idx="0">
                  <c:v>Competitor 3</c:v>
                </c:pt>
              </c:strCache>
            </c:strRef>
          </c:tx>
          <c:spPr>
            <a:ln w="12700">
              <a:solidFill>
                <a:srgbClr val="800080"/>
              </a:solidFill>
              <a:prstDash val="solid"/>
            </a:ln>
          </c:spPr>
          <c:marker>
            <c:symbol val="star"/>
            <c:size val="7"/>
            <c:spPr>
              <a:noFill/>
              <a:ln>
                <a:solidFill>
                  <a:srgbClr val="800080"/>
                </a:solidFill>
                <a:prstDash val="solid"/>
              </a:ln>
            </c:spPr>
          </c:marker>
          <c:xVal>
            <c:numRef>
              <c:f>'House of Quality 1'!$CW$51:$CW$60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3-A97D-46A5-A5DA-D3A60981E7EB}"/>
            </c:ext>
          </c:extLst>
        </c:ser>
        <c:ser>
          <c:idx val="5"/>
          <c:order val="4"/>
          <c:tx>
            <c:strRef>
              <c:f>'House of Quality 1'!$CX$49</c:f>
              <c:strCache>
                <c:ptCount val="1"/>
                <c:pt idx="0">
                  <c:v>Competitor 4</c:v>
                </c:pt>
              </c:strCache>
            </c:strRef>
          </c:tx>
          <c:spPr>
            <a:ln w="12700">
              <a:solidFill>
                <a:srgbClr val="800000"/>
              </a:solidFill>
              <a:prstDash val="solid"/>
            </a:ln>
          </c:spPr>
          <c:marker>
            <c:symbol val="circle"/>
            <c:size val="7"/>
            <c:spPr>
              <a:solidFill>
                <a:srgbClr val="800000"/>
              </a:solidFill>
              <a:ln>
                <a:solidFill>
                  <a:srgbClr val="800000"/>
                </a:solidFill>
                <a:prstDash val="solid"/>
              </a:ln>
            </c:spPr>
          </c:marker>
          <c:xVal>
            <c:numRef>
              <c:f>'House of Quality 1'!$CX$51:$CX$60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4-A97D-46A5-A5DA-D3A60981E7EB}"/>
            </c:ext>
          </c:extLst>
        </c:ser>
        <c:ser>
          <c:idx val="6"/>
          <c:order val="5"/>
          <c:tx>
            <c:strRef>
              <c:f>'House of Quality 1'!$CY$49</c:f>
              <c:strCache>
                <c:ptCount val="1"/>
                <c:pt idx="0">
                  <c:v>Competitor 5</c:v>
                </c:pt>
              </c:strCache>
            </c:strRef>
          </c:tx>
          <c:spPr>
            <a:ln w="12700">
              <a:solidFill>
                <a:srgbClr val="008080"/>
              </a:solidFill>
              <a:prstDash val="solid"/>
            </a:ln>
          </c:spPr>
          <c:marker>
            <c:symbol val="diamond"/>
            <c:size val="7"/>
            <c:spPr>
              <a:solidFill>
                <a:srgbClr val="008080"/>
              </a:solidFill>
              <a:ln>
                <a:solidFill>
                  <a:srgbClr val="008080"/>
                </a:solidFill>
                <a:prstDash val="solid"/>
              </a:ln>
            </c:spPr>
          </c:marker>
          <c:xVal>
            <c:numRef>
              <c:f>'House of Quality 1'!$CY$51:$CY$60</c:f>
              <c:numCache>
                <c:formatCode>0</c:formatCode>
                <c:ptCount val="10"/>
              </c:numCache>
            </c:numRef>
          </c:xVal>
          <c:yVal>
            <c:numRef>
              <c:f>'House of Quality 1'!$DG$51:$DG$60</c:f>
              <c:numCache>
                <c:formatCode>General</c:formatCode>
                <c:ptCount val="10"/>
                <c:pt idx="0">
                  <c:v>0.95</c:v>
                </c:pt>
                <c:pt idx="1">
                  <c:v>0.85</c:v>
                </c:pt>
                <c:pt idx="2">
                  <c:v>0.75</c:v>
                </c:pt>
                <c:pt idx="3">
                  <c:v>0.65</c:v>
                </c:pt>
                <c:pt idx="4">
                  <c:v>0.55000000000000004</c:v>
                </c:pt>
                <c:pt idx="5">
                  <c:v>0.45</c:v>
                </c:pt>
                <c:pt idx="6">
                  <c:v>0.35</c:v>
                </c:pt>
                <c:pt idx="7">
                  <c:v>0.25</c:v>
                </c:pt>
                <c:pt idx="8">
                  <c:v>0.15</c:v>
                </c:pt>
                <c:pt idx="9">
                  <c:v>0.05</c:v>
                </c:pt>
              </c:numCache>
            </c:numRef>
          </c:yVal>
          <c:smooth val="0"/>
          <c:extLst>
            <c:ext xmlns:c16="http://schemas.microsoft.com/office/drawing/2014/chart" uri="{C3380CC4-5D6E-409C-BE32-E72D297353CC}">
              <c16:uniqueId val="{00000005-A97D-46A5-A5DA-D3A60981E7EB}"/>
            </c:ext>
          </c:extLst>
        </c:ser>
        <c:dLbls>
          <c:showLegendKey val="0"/>
          <c:showVal val="0"/>
          <c:showCatName val="0"/>
          <c:showSerName val="0"/>
          <c:showPercent val="0"/>
          <c:showBubbleSize val="0"/>
        </c:dLbls>
        <c:axId val="80246175"/>
        <c:axId val="1"/>
      </c:scatterChart>
      <c:valAx>
        <c:axId val="80246175"/>
        <c:scaling>
          <c:orientation val="minMax"/>
          <c:max val="5"/>
          <c:min val="0"/>
        </c:scaling>
        <c:delete val="1"/>
        <c:axPos val="b"/>
        <c:numFmt formatCode="0" sourceLinked="1"/>
        <c:majorTickMark val="out"/>
        <c:minorTickMark val="none"/>
        <c:tickLblPos val="nextTo"/>
        <c:crossAx val="1"/>
        <c:crosses val="autoZero"/>
        <c:crossBetween val="midCat"/>
      </c:valAx>
      <c:valAx>
        <c:axId val="1"/>
        <c:scaling>
          <c:orientation val="minMax"/>
          <c:max val="1"/>
          <c:min val="0"/>
        </c:scaling>
        <c:delete val="1"/>
        <c:axPos val="r"/>
        <c:numFmt formatCode="General" sourceLinked="1"/>
        <c:majorTickMark val="out"/>
        <c:minorTickMark val="none"/>
        <c:tickLblPos val="nextTo"/>
        <c:crossAx val="80246175"/>
        <c:crosses val="max"/>
        <c:crossBetween val="midCat"/>
        <c:majorUnit val="1"/>
        <c:minorUnit val="0.02"/>
      </c:valAx>
      <c:spPr>
        <a:noFill/>
        <a:ln w="25400">
          <a:noFill/>
        </a:ln>
      </c:spPr>
    </c:plotArea>
    <c:legend>
      <c:legendPos val="t"/>
      <c:layout>
        <c:manualLayout>
          <c:xMode val="edge"/>
          <c:yMode val="edge"/>
          <c:x val="3.6924446472764869E-2"/>
          <c:y val="4.6730433048347522E-2"/>
          <c:w val="0.89849486417061175"/>
          <c:h val="0.31192564059771971"/>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s-CO"/>
        </a:p>
      </c:txPr>
    </c:legend>
    <c:plotVisOnly val="1"/>
    <c:dispBlanksAs val="gap"/>
    <c:showDLblsOverMax val="0"/>
  </c:chart>
  <c:spPr>
    <a:noFill/>
    <a:ln w="12700">
      <a:noFill/>
    </a:ln>
  </c:spPr>
  <c:txPr>
    <a:bodyPr/>
    <a:lstStyle/>
    <a:p>
      <a:pPr>
        <a:defRPr sz="350" b="0" i="0" u="none" strike="noStrike" baseline="0">
          <a:solidFill>
            <a:srgbClr val="000000"/>
          </a:solidFill>
          <a:latin typeface="Arial"/>
          <a:ea typeface="Arial"/>
          <a:cs typeface="Arial"/>
        </a:defRPr>
      </a:pPr>
      <a:endParaRPr lang="es-CO"/>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hyperlink" Target="http://www.airacad.com/" TargetMode="External"/><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4.jpeg"/><Relationship Id="rId5" Type="http://schemas.openxmlformats.org/officeDocument/2006/relationships/hyperlink" Target="http://www.sixsigmaproductsgroup.com/" TargetMode="External"/><Relationship Id="rId4"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103</xdr:col>
      <xdr:colOff>31750</xdr:colOff>
      <xdr:row>47</xdr:row>
      <xdr:rowOff>0</xdr:rowOff>
    </xdr:from>
    <xdr:to>
      <xdr:col>109</xdr:col>
      <xdr:colOff>31750</xdr:colOff>
      <xdr:row>60</xdr:row>
      <xdr:rowOff>120650</xdr:rowOff>
    </xdr:to>
    <xdr:graphicFrame macro="">
      <xdr:nvGraphicFramePr>
        <xdr:cNvPr id="2112" name="Gráfico 64">
          <a:extLst>
            <a:ext uri="{FF2B5EF4-FFF2-40B4-BE49-F238E27FC236}">
              <a16:creationId xmlns:a16="http://schemas.microsoft.com/office/drawing/2014/main" id="{14C8381B-207B-6560-DA82-AD62935896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12700</xdr:colOff>
      <xdr:row>1</xdr:row>
      <xdr:rowOff>12700</xdr:rowOff>
    </xdr:from>
    <xdr:to>
      <xdr:col>52</xdr:col>
      <xdr:colOff>0</xdr:colOff>
      <xdr:row>46</xdr:row>
      <xdr:rowOff>0</xdr:rowOff>
    </xdr:to>
    <xdr:sp macro="" textlink="">
      <xdr:nvSpPr>
        <xdr:cNvPr id="2129" name="Line 81">
          <a:extLst>
            <a:ext uri="{FF2B5EF4-FFF2-40B4-BE49-F238E27FC236}">
              <a16:creationId xmlns:a16="http://schemas.microsoft.com/office/drawing/2014/main" id="{79424D5B-1454-CD1D-FDD7-5E61202B26BD}"/>
            </a:ext>
          </a:extLst>
        </xdr:cNvPr>
        <xdr:cNvSpPr>
          <a:spLocks noChangeShapeType="1"/>
        </xdr:cNvSpPr>
      </xdr:nvSpPr>
      <xdr:spPr bwMode="auto">
        <a:xfrm flipV="1">
          <a:off x="400685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4</xdr:row>
      <xdr:rowOff>0</xdr:rowOff>
    </xdr:from>
    <xdr:to>
      <xdr:col>55</xdr:col>
      <xdr:colOff>0</xdr:colOff>
      <xdr:row>46</xdr:row>
      <xdr:rowOff>0</xdr:rowOff>
    </xdr:to>
    <xdr:sp macro="" textlink="">
      <xdr:nvSpPr>
        <xdr:cNvPr id="2130" name="Line 82">
          <a:extLst>
            <a:ext uri="{FF2B5EF4-FFF2-40B4-BE49-F238E27FC236}">
              <a16:creationId xmlns:a16="http://schemas.microsoft.com/office/drawing/2014/main" id="{AFE98D62-99B4-888E-2C16-701254C8031D}"/>
            </a:ext>
          </a:extLst>
        </xdr:cNvPr>
        <xdr:cNvSpPr>
          <a:spLocks noChangeShapeType="1"/>
        </xdr:cNvSpPr>
      </xdr:nvSpPr>
      <xdr:spPr bwMode="auto">
        <a:xfrm flipV="1">
          <a:off x="4413250" y="355600"/>
          <a:ext cx="293370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52</xdr:col>
      <xdr:colOff>12700</xdr:colOff>
      <xdr:row>1</xdr:row>
      <xdr:rowOff>12700</xdr:rowOff>
    </xdr:from>
    <xdr:to>
      <xdr:col>97</xdr:col>
      <xdr:colOff>0</xdr:colOff>
      <xdr:row>46</xdr:row>
      <xdr:rowOff>0</xdr:rowOff>
    </xdr:to>
    <xdr:sp macro="" textlink="">
      <xdr:nvSpPr>
        <xdr:cNvPr id="2131" name="Line 83">
          <a:extLst>
            <a:ext uri="{FF2B5EF4-FFF2-40B4-BE49-F238E27FC236}">
              <a16:creationId xmlns:a16="http://schemas.microsoft.com/office/drawing/2014/main" id="{3429A295-717A-06EA-544F-A770739536C8}"/>
            </a:ext>
          </a:extLst>
        </xdr:cNvPr>
        <xdr:cNvSpPr>
          <a:spLocks noChangeShapeType="1"/>
        </xdr:cNvSpPr>
      </xdr:nvSpPr>
      <xdr:spPr bwMode="auto">
        <a:xfrm flipH="1" flipV="1">
          <a:off x="715010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0</xdr:colOff>
      <xdr:row>7</xdr:row>
      <xdr:rowOff>0</xdr:rowOff>
    </xdr:from>
    <xdr:to>
      <xdr:col>58</xdr:col>
      <xdr:colOff>0</xdr:colOff>
      <xdr:row>46</xdr:row>
      <xdr:rowOff>0</xdr:rowOff>
    </xdr:to>
    <xdr:sp macro="" textlink="">
      <xdr:nvSpPr>
        <xdr:cNvPr id="2132" name="Line 84">
          <a:extLst>
            <a:ext uri="{FF2B5EF4-FFF2-40B4-BE49-F238E27FC236}">
              <a16:creationId xmlns:a16="http://schemas.microsoft.com/office/drawing/2014/main" id="{940E3AB3-411B-D635-1F04-652E0A0B11BE}"/>
            </a:ext>
          </a:extLst>
        </xdr:cNvPr>
        <xdr:cNvSpPr>
          <a:spLocks noChangeShapeType="1"/>
        </xdr:cNvSpPr>
      </xdr:nvSpPr>
      <xdr:spPr bwMode="auto">
        <a:xfrm flipV="1">
          <a:off x="4832350" y="584200"/>
          <a:ext cx="27241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49</xdr:col>
      <xdr:colOff>12700</xdr:colOff>
      <xdr:row>4</xdr:row>
      <xdr:rowOff>12700</xdr:rowOff>
    </xdr:from>
    <xdr:to>
      <xdr:col>91</xdr:col>
      <xdr:colOff>0</xdr:colOff>
      <xdr:row>46</xdr:row>
      <xdr:rowOff>0</xdr:rowOff>
    </xdr:to>
    <xdr:sp macro="" textlink="">
      <xdr:nvSpPr>
        <xdr:cNvPr id="2133" name="Line 85">
          <a:extLst>
            <a:ext uri="{FF2B5EF4-FFF2-40B4-BE49-F238E27FC236}">
              <a16:creationId xmlns:a16="http://schemas.microsoft.com/office/drawing/2014/main" id="{AFC278A7-2DEE-4B9F-F4E5-A693F4E1F24F}"/>
            </a:ext>
          </a:extLst>
        </xdr:cNvPr>
        <xdr:cNvSpPr>
          <a:spLocks noChangeShapeType="1"/>
        </xdr:cNvSpPr>
      </xdr:nvSpPr>
      <xdr:spPr bwMode="auto">
        <a:xfrm>
          <a:off x="6940550" y="368300"/>
          <a:ext cx="2921000" cy="3187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46</xdr:col>
      <xdr:colOff>12700</xdr:colOff>
      <xdr:row>7</xdr:row>
      <xdr:rowOff>0</xdr:rowOff>
    </xdr:from>
    <xdr:to>
      <xdr:col>85</xdr:col>
      <xdr:colOff>0</xdr:colOff>
      <xdr:row>46</xdr:row>
      <xdr:rowOff>0</xdr:rowOff>
    </xdr:to>
    <xdr:sp macro="" textlink="">
      <xdr:nvSpPr>
        <xdr:cNvPr id="2134" name="Line 86">
          <a:extLst>
            <a:ext uri="{FF2B5EF4-FFF2-40B4-BE49-F238E27FC236}">
              <a16:creationId xmlns:a16="http://schemas.microsoft.com/office/drawing/2014/main" id="{05FAF6FB-EA1B-6B75-B4C4-8D201D96ADD8}"/>
            </a:ext>
          </a:extLst>
        </xdr:cNvPr>
        <xdr:cNvSpPr>
          <a:spLocks noChangeShapeType="1"/>
        </xdr:cNvSpPr>
      </xdr:nvSpPr>
      <xdr:spPr bwMode="auto">
        <a:xfrm>
          <a:off x="6731000" y="584200"/>
          <a:ext cx="27114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12700</xdr:colOff>
      <xdr:row>10</xdr:row>
      <xdr:rowOff>0</xdr:rowOff>
    </xdr:from>
    <xdr:to>
      <xdr:col>79</xdr:col>
      <xdr:colOff>0</xdr:colOff>
      <xdr:row>46</xdr:row>
      <xdr:rowOff>0</xdr:rowOff>
    </xdr:to>
    <xdr:sp macro="" textlink="">
      <xdr:nvSpPr>
        <xdr:cNvPr id="2136" name="Line 88">
          <a:extLst>
            <a:ext uri="{FF2B5EF4-FFF2-40B4-BE49-F238E27FC236}">
              <a16:creationId xmlns:a16="http://schemas.microsoft.com/office/drawing/2014/main" id="{3DADF702-CB34-4785-4C22-73B47FB242CE}"/>
            </a:ext>
          </a:extLst>
        </xdr:cNvPr>
        <xdr:cNvSpPr>
          <a:spLocks noChangeShapeType="1"/>
        </xdr:cNvSpPr>
      </xdr:nvSpPr>
      <xdr:spPr bwMode="auto">
        <a:xfrm>
          <a:off x="6521450" y="812800"/>
          <a:ext cx="25019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0</xdr:colOff>
      <xdr:row>10</xdr:row>
      <xdr:rowOff>0</xdr:rowOff>
    </xdr:from>
    <xdr:to>
      <xdr:col>61</xdr:col>
      <xdr:colOff>0</xdr:colOff>
      <xdr:row>46</xdr:row>
      <xdr:rowOff>0</xdr:rowOff>
    </xdr:to>
    <xdr:sp macro="" textlink="">
      <xdr:nvSpPr>
        <xdr:cNvPr id="2137" name="Line 89">
          <a:extLst>
            <a:ext uri="{FF2B5EF4-FFF2-40B4-BE49-F238E27FC236}">
              <a16:creationId xmlns:a16="http://schemas.microsoft.com/office/drawing/2014/main" id="{EA01F7C0-9647-4EB5-F151-0707FC20CF7F}"/>
            </a:ext>
          </a:extLst>
        </xdr:cNvPr>
        <xdr:cNvSpPr>
          <a:spLocks noChangeShapeType="1"/>
        </xdr:cNvSpPr>
      </xdr:nvSpPr>
      <xdr:spPr bwMode="auto">
        <a:xfrm flipH="1">
          <a:off x="5251450" y="812800"/>
          <a:ext cx="25146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0</xdr:colOff>
      <xdr:row>13</xdr:row>
      <xdr:rowOff>12700</xdr:rowOff>
    </xdr:from>
    <xdr:to>
      <xdr:col>64</xdr:col>
      <xdr:colOff>0</xdr:colOff>
      <xdr:row>46</xdr:row>
      <xdr:rowOff>0</xdr:rowOff>
    </xdr:to>
    <xdr:sp macro="" textlink="">
      <xdr:nvSpPr>
        <xdr:cNvPr id="2138" name="Line 90">
          <a:extLst>
            <a:ext uri="{FF2B5EF4-FFF2-40B4-BE49-F238E27FC236}">
              <a16:creationId xmlns:a16="http://schemas.microsoft.com/office/drawing/2014/main" id="{848810D8-B4E3-A441-C6C9-5C2D50787744}"/>
            </a:ext>
          </a:extLst>
        </xdr:cNvPr>
        <xdr:cNvSpPr>
          <a:spLocks noChangeShapeType="1"/>
        </xdr:cNvSpPr>
      </xdr:nvSpPr>
      <xdr:spPr bwMode="auto">
        <a:xfrm flipH="1">
          <a:off x="567055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37</xdr:col>
      <xdr:colOff>0</xdr:colOff>
      <xdr:row>16</xdr:row>
      <xdr:rowOff>0</xdr:rowOff>
    </xdr:from>
    <xdr:to>
      <xdr:col>67</xdr:col>
      <xdr:colOff>0</xdr:colOff>
      <xdr:row>46</xdr:row>
      <xdr:rowOff>0</xdr:rowOff>
    </xdr:to>
    <xdr:sp macro="" textlink="">
      <xdr:nvSpPr>
        <xdr:cNvPr id="2139" name="Line 91">
          <a:extLst>
            <a:ext uri="{FF2B5EF4-FFF2-40B4-BE49-F238E27FC236}">
              <a16:creationId xmlns:a16="http://schemas.microsoft.com/office/drawing/2014/main" id="{292873CC-1A77-3259-D78C-1533FA6672A9}"/>
            </a:ext>
          </a:extLst>
        </xdr:cNvPr>
        <xdr:cNvSpPr>
          <a:spLocks noChangeShapeType="1"/>
        </xdr:cNvSpPr>
      </xdr:nvSpPr>
      <xdr:spPr bwMode="auto">
        <a:xfrm flipH="1">
          <a:off x="6089650" y="1270000"/>
          <a:ext cx="209550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43</xdr:col>
      <xdr:colOff>0</xdr:colOff>
      <xdr:row>19</xdr:row>
      <xdr:rowOff>0</xdr:rowOff>
    </xdr:from>
    <xdr:to>
      <xdr:col>70</xdr:col>
      <xdr:colOff>0</xdr:colOff>
      <xdr:row>46</xdr:row>
      <xdr:rowOff>0</xdr:rowOff>
    </xdr:to>
    <xdr:sp macro="" textlink="">
      <xdr:nvSpPr>
        <xdr:cNvPr id="2140" name="Line 92">
          <a:extLst>
            <a:ext uri="{FF2B5EF4-FFF2-40B4-BE49-F238E27FC236}">
              <a16:creationId xmlns:a16="http://schemas.microsoft.com/office/drawing/2014/main" id="{785C5022-286D-7ECF-1FB3-FFF61EB4A311}"/>
            </a:ext>
          </a:extLst>
        </xdr:cNvPr>
        <xdr:cNvSpPr>
          <a:spLocks noChangeShapeType="1"/>
        </xdr:cNvSpPr>
      </xdr:nvSpPr>
      <xdr:spPr bwMode="auto">
        <a:xfrm flipH="1">
          <a:off x="6508750" y="1498600"/>
          <a:ext cx="1885950"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40</xdr:col>
      <xdr:colOff>0</xdr:colOff>
      <xdr:row>13</xdr:row>
      <xdr:rowOff>12700</xdr:rowOff>
    </xdr:from>
    <xdr:to>
      <xdr:col>73</xdr:col>
      <xdr:colOff>0</xdr:colOff>
      <xdr:row>46</xdr:row>
      <xdr:rowOff>0</xdr:rowOff>
    </xdr:to>
    <xdr:sp macro="" textlink="">
      <xdr:nvSpPr>
        <xdr:cNvPr id="2141" name="Line 93">
          <a:extLst>
            <a:ext uri="{FF2B5EF4-FFF2-40B4-BE49-F238E27FC236}">
              <a16:creationId xmlns:a16="http://schemas.microsoft.com/office/drawing/2014/main" id="{E0CBE1DB-8076-5E63-52B1-9D85A2901A8D}"/>
            </a:ext>
          </a:extLst>
        </xdr:cNvPr>
        <xdr:cNvSpPr>
          <a:spLocks noChangeShapeType="1"/>
        </xdr:cNvSpPr>
      </xdr:nvSpPr>
      <xdr:spPr bwMode="auto">
        <a:xfrm>
          <a:off x="629920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37</xdr:col>
      <xdr:colOff>12700</xdr:colOff>
      <xdr:row>16</xdr:row>
      <xdr:rowOff>12700</xdr:rowOff>
    </xdr:from>
    <xdr:to>
      <xdr:col>67</xdr:col>
      <xdr:colOff>0</xdr:colOff>
      <xdr:row>46</xdr:row>
      <xdr:rowOff>0</xdr:rowOff>
    </xdr:to>
    <xdr:sp macro="" textlink="">
      <xdr:nvSpPr>
        <xdr:cNvPr id="2142" name="Line 94">
          <a:extLst>
            <a:ext uri="{FF2B5EF4-FFF2-40B4-BE49-F238E27FC236}">
              <a16:creationId xmlns:a16="http://schemas.microsoft.com/office/drawing/2014/main" id="{01E06C46-E96E-0AE0-FAED-D0BFA83DDB9B}"/>
            </a:ext>
          </a:extLst>
        </xdr:cNvPr>
        <xdr:cNvSpPr>
          <a:spLocks noChangeShapeType="1"/>
        </xdr:cNvSpPr>
      </xdr:nvSpPr>
      <xdr:spPr bwMode="auto">
        <a:xfrm>
          <a:off x="6102350" y="1282700"/>
          <a:ext cx="2082800" cy="2273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34</xdr:col>
      <xdr:colOff>12700</xdr:colOff>
      <xdr:row>19</xdr:row>
      <xdr:rowOff>12700</xdr:rowOff>
    </xdr:from>
    <xdr:to>
      <xdr:col>61</xdr:col>
      <xdr:colOff>0</xdr:colOff>
      <xdr:row>46</xdr:row>
      <xdr:rowOff>0</xdr:rowOff>
    </xdr:to>
    <xdr:sp macro="" textlink="">
      <xdr:nvSpPr>
        <xdr:cNvPr id="2143" name="Line 95">
          <a:extLst>
            <a:ext uri="{FF2B5EF4-FFF2-40B4-BE49-F238E27FC236}">
              <a16:creationId xmlns:a16="http://schemas.microsoft.com/office/drawing/2014/main" id="{E5F57670-BEA4-64BC-E142-D30E9CEEF888}"/>
            </a:ext>
          </a:extLst>
        </xdr:cNvPr>
        <xdr:cNvSpPr>
          <a:spLocks noChangeShapeType="1"/>
        </xdr:cNvSpPr>
      </xdr:nvSpPr>
      <xdr:spPr bwMode="auto">
        <a:xfrm>
          <a:off x="5892800" y="1511300"/>
          <a:ext cx="1873250" cy="204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49</xdr:col>
      <xdr:colOff>0</xdr:colOff>
      <xdr:row>22</xdr:row>
      <xdr:rowOff>12700</xdr:rowOff>
    </xdr:from>
    <xdr:to>
      <xdr:col>73</xdr:col>
      <xdr:colOff>0</xdr:colOff>
      <xdr:row>46</xdr:row>
      <xdr:rowOff>0</xdr:rowOff>
    </xdr:to>
    <xdr:sp macro="" textlink="">
      <xdr:nvSpPr>
        <xdr:cNvPr id="2144" name="Line 96">
          <a:extLst>
            <a:ext uri="{FF2B5EF4-FFF2-40B4-BE49-F238E27FC236}">
              <a16:creationId xmlns:a16="http://schemas.microsoft.com/office/drawing/2014/main" id="{22482332-C859-F525-0B37-C70A61C8B12A}"/>
            </a:ext>
          </a:extLst>
        </xdr:cNvPr>
        <xdr:cNvSpPr>
          <a:spLocks noChangeShapeType="1"/>
        </xdr:cNvSpPr>
      </xdr:nvSpPr>
      <xdr:spPr bwMode="auto">
        <a:xfrm flipH="1">
          <a:off x="6927850" y="1739900"/>
          <a:ext cx="16764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31</xdr:col>
      <xdr:colOff>12700</xdr:colOff>
      <xdr:row>22</xdr:row>
      <xdr:rowOff>12700</xdr:rowOff>
    </xdr:from>
    <xdr:to>
      <xdr:col>55</xdr:col>
      <xdr:colOff>0</xdr:colOff>
      <xdr:row>46</xdr:row>
      <xdr:rowOff>0</xdr:rowOff>
    </xdr:to>
    <xdr:sp macro="" textlink="">
      <xdr:nvSpPr>
        <xdr:cNvPr id="2145" name="Line 97">
          <a:extLst>
            <a:ext uri="{FF2B5EF4-FFF2-40B4-BE49-F238E27FC236}">
              <a16:creationId xmlns:a16="http://schemas.microsoft.com/office/drawing/2014/main" id="{3EB0D038-FB47-82BE-AB97-48CF1FBB79E7}"/>
            </a:ext>
          </a:extLst>
        </xdr:cNvPr>
        <xdr:cNvSpPr>
          <a:spLocks noChangeShapeType="1"/>
        </xdr:cNvSpPr>
      </xdr:nvSpPr>
      <xdr:spPr bwMode="auto">
        <a:xfrm>
          <a:off x="5683250" y="1739900"/>
          <a:ext cx="16637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55</xdr:col>
      <xdr:colOff>0</xdr:colOff>
      <xdr:row>25</xdr:row>
      <xdr:rowOff>0</xdr:rowOff>
    </xdr:from>
    <xdr:to>
      <xdr:col>76</xdr:col>
      <xdr:colOff>0</xdr:colOff>
      <xdr:row>46</xdr:row>
      <xdr:rowOff>0</xdr:rowOff>
    </xdr:to>
    <xdr:sp macro="" textlink="">
      <xdr:nvSpPr>
        <xdr:cNvPr id="2146" name="Line 98">
          <a:extLst>
            <a:ext uri="{FF2B5EF4-FFF2-40B4-BE49-F238E27FC236}">
              <a16:creationId xmlns:a16="http://schemas.microsoft.com/office/drawing/2014/main" id="{9611485B-34D1-7D80-9FBC-70FA081C8D7F}"/>
            </a:ext>
          </a:extLst>
        </xdr:cNvPr>
        <xdr:cNvSpPr>
          <a:spLocks noChangeShapeType="1"/>
        </xdr:cNvSpPr>
      </xdr:nvSpPr>
      <xdr:spPr bwMode="auto">
        <a:xfrm flipH="1">
          <a:off x="7346950" y="1955800"/>
          <a:ext cx="14668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61</xdr:col>
      <xdr:colOff>0</xdr:colOff>
      <xdr:row>28</xdr:row>
      <xdr:rowOff>0</xdr:rowOff>
    </xdr:from>
    <xdr:to>
      <xdr:col>79</xdr:col>
      <xdr:colOff>0</xdr:colOff>
      <xdr:row>46</xdr:row>
      <xdr:rowOff>0</xdr:rowOff>
    </xdr:to>
    <xdr:sp macro="" textlink="">
      <xdr:nvSpPr>
        <xdr:cNvPr id="2147" name="Line 99">
          <a:extLst>
            <a:ext uri="{FF2B5EF4-FFF2-40B4-BE49-F238E27FC236}">
              <a16:creationId xmlns:a16="http://schemas.microsoft.com/office/drawing/2014/main" id="{DC4AB113-7929-8534-3902-FA84E8353B61}"/>
            </a:ext>
          </a:extLst>
        </xdr:cNvPr>
        <xdr:cNvSpPr>
          <a:spLocks noChangeShapeType="1"/>
        </xdr:cNvSpPr>
      </xdr:nvSpPr>
      <xdr:spPr bwMode="auto">
        <a:xfrm flipH="1">
          <a:off x="7766050" y="2184400"/>
          <a:ext cx="125730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67</xdr:col>
      <xdr:colOff>0</xdr:colOff>
      <xdr:row>31</xdr:row>
      <xdr:rowOff>0</xdr:rowOff>
    </xdr:from>
    <xdr:to>
      <xdr:col>82</xdr:col>
      <xdr:colOff>0</xdr:colOff>
      <xdr:row>46</xdr:row>
      <xdr:rowOff>0</xdr:rowOff>
    </xdr:to>
    <xdr:sp macro="" textlink="">
      <xdr:nvSpPr>
        <xdr:cNvPr id="2148" name="Line 100">
          <a:extLst>
            <a:ext uri="{FF2B5EF4-FFF2-40B4-BE49-F238E27FC236}">
              <a16:creationId xmlns:a16="http://schemas.microsoft.com/office/drawing/2014/main" id="{02EE4E36-A092-BD61-A471-914BC059FA74}"/>
            </a:ext>
          </a:extLst>
        </xdr:cNvPr>
        <xdr:cNvSpPr>
          <a:spLocks noChangeShapeType="1"/>
        </xdr:cNvSpPr>
      </xdr:nvSpPr>
      <xdr:spPr bwMode="auto">
        <a:xfrm flipH="1">
          <a:off x="8185150" y="2413000"/>
          <a:ext cx="1047750"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28</xdr:col>
      <xdr:colOff>0</xdr:colOff>
      <xdr:row>25</xdr:row>
      <xdr:rowOff>12700</xdr:rowOff>
    </xdr:from>
    <xdr:to>
      <xdr:col>49</xdr:col>
      <xdr:colOff>0</xdr:colOff>
      <xdr:row>46</xdr:row>
      <xdr:rowOff>0</xdr:rowOff>
    </xdr:to>
    <xdr:sp macro="" textlink="">
      <xdr:nvSpPr>
        <xdr:cNvPr id="2149" name="Line 101">
          <a:extLst>
            <a:ext uri="{FF2B5EF4-FFF2-40B4-BE49-F238E27FC236}">
              <a16:creationId xmlns:a16="http://schemas.microsoft.com/office/drawing/2014/main" id="{676B9995-7CF9-5BB5-B851-794984131D9F}"/>
            </a:ext>
          </a:extLst>
        </xdr:cNvPr>
        <xdr:cNvSpPr>
          <a:spLocks noChangeShapeType="1"/>
        </xdr:cNvSpPr>
      </xdr:nvSpPr>
      <xdr:spPr bwMode="auto">
        <a:xfrm>
          <a:off x="5461000" y="1968500"/>
          <a:ext cx="1466850" cy="1587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25</xdr:col>
      <xdr:colOff>12700</xdr:colOff>
      <xdr:row>28</xdr:row>
      <xdr:rowOff>12700</xdr:rowOff>
    </xdr:from>
    <xdr:to>
      <xdr:col>43</xdr:col>
      <xdr:colOff>0</xdr:colOff>
      <xdr:row>46</xdr:row>
      <xdr:rowOff>0</xdr:rowOff>
    </xdr:to>
    <xdr:sp macro="" textlink="">
      <xdr:nvSpPr>
        <xdr:cNvPr id="2150" name="Line 102">
          <a:extLst>
            <a:ext uri="{FF2B5EF4-FFF2-40B4-BE49-F238E27FC236}">
              <a16:creationId xmlns:a16="http://schemas.microsoft.com/office/drawing/2014/main" id="{774B0E9A-6396-7CE4-3559-CE7F37CE35B1}"/>
            </a:ext>
          </a:extLst>
        </xdr:cNvPr>
        <xdr:cNvSpPr>
          <a:spLocks noChangeShapeType="1"/>
        </xdr:cNvSpPr>
      </xdr:nvSpPr>
      <xdr:spPr bwMode="auto">
        <a:xfrm>
          <a:off x="5264150" y="2197100"/>
          <a:ext cx="1244600" cy="1358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22</xdr:col>
      <xdr:colOff>12700</xdr:colOff>
      <xdr:row>31</xdr:row>
      <xdr:rowOff>12700</xdr:rowOff>
    </xdr:from>
    <xdr:to>
      <xdr:col>37</xdr:col>
      <xdr:colOff>0</xdr:colOff>
      <xdr:row>46</xdr:row>
      <xdr:rowOff>0</xdr:rowOff>
    </xdr:to>
    <xdr:sp macro="" textlink="">
      <xdr:nvSpPr>
        <xdr:cNvPr id="2151" name="Line 103">
          <a:extLst>
            <a:ext uri="{FF2B5EF4-FFF2-40B4-BE49-F238E27FC236}">
              <a16:creationId xmlns:a16="http://schemas.microsoft.com/office/drawing/2014/main" id="{9C5F97C9-A812-2F49-00A8-350501238B7F}"/>
            </a:ext>
          </a:extLst>
        </xdr:cNvPr>
        <xdr:cNvSpPr>
          <a:spLocks noChangeShapeType="1"/>
        </xdr:cNvSpPr>
      </xdr:nvSpPr>
      <xdr:spPr bwMode="auto">
        <a:xfrm>
          <a:off x="5054600" y="2425700"/>
          <a:ext cx="1035050" cy="1130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19</xdr:col>
      <xdr:colOff>12700</xdr:colOff>
      <xdr:row>34</xdr:row>
      <xdr:rowOff>12700</xdr:rowOff>
    </xdr:from>
    <xdr:to>
      <xdr:col>31</xdr:col>
      <xdr:colOff>0</xdr:colOff>
      <xdr:row>46</xdr:row>
      <xdr:rowOff>0</xdr:rowOff>
    </xdr:to>
    <xdr:sp macro="" textlink="">
      <xdr:nvSpPr>
        <xdr:cNvPr id="2152" name="Line 104">
          <a:extLst>
            <a:ext uri="{FF2B5EF4-FFF2-40B4-BE49-F238E27FC236}">
              <a16:creationId xmlns:a16="http://schemas.microsoft.com/office/drawing/2014/main" id="{0B54A6D8-F40E-0E89-897C-7A044A313A5C}"/>
            </a:ext>
          </a:extLst>
        </xdr:cNvPr>
        <xdr:cNvSpPr>
          <a:spLocks noChangeShapeType="1"/>
        </xdr:cNvSpPr>
      </xdr:nvSpPr>
      <xdr:spPr bwMode="auto">
        <a:xfrm>
          <a:off x="4845050" y="2654300"/>
          <a:ext cx="825500" cy="901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16</xdr:col>
      <xdr:colOff>0</xdr:colOff>
      <xdr:row>37</xdr:row>
      <xdr:rowOff>12700</xdr:rowOff>
    </xdr:from>
    <xdr:to>
      <xdr:col>25</xdr:col>
      <xdr:colOff>0</xdr:colOff>
      <xdr:row>46</xdr:row>
      <xdr:rowOff>0</xdr:rowOff>
    </xdr:to>
    <xdr:sp macro="" textlink="">
      <xdr:nvSpPr>
        <xdr:cNvPr id="2153" name="Line 105">
          <a:extLst>
            <a:ext uri="{FF2B5EF4-FFF2-40B4-BE49-F238E27FC236}">
              <a16:creationId xmlns:a16="http://schemas.microsoft.com/office/drawing/2014/main" id="{3745C22A-59FF-A1BE-1E7A-9F6F19603B3E}"/>
            </a:ext>
          </a:extLst>
        </xdr:cNvPr>
        <xdr:cNvSpPr>
          <a:spLocks noChangeShapeType="1"/>
        </xdr:cNvSpPr>
      </xdr:nvSpPr>
      <xdr:spPr bwMode="auto">
        <a:xfrm>
          <a:off x="4622800" y="2882900"/>
          <a:ext cx="628650" cy="673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13</xdr:col>
      <xdr:colOff>0</xdr:colOff>
      <xdr:row>40</xdr:row>
      <xdr:rowOff>12700</xdr:rowOff>
    </xdr:from>
    <xdr:to>
      <xdr:col>19</xdr:col>
      <xdr:colOff>0</xdr:colOff>
      <xdr:row>46</xdr:row>
      <xdr:rowOff>0</xdr:rowOff>
    </xdr:to>
    <xdr:sp macro="" textlink="">
      <xdr:nvSpPr>
        <xdr:cNvPr id="2154" name="Line 106">
          <a:extLst>
            <a:ext uri="{FF2B5EF4-FFF2-40B4-BE49-F238E27FC236}">
              <a16:creationId xmlns:a16="http://schemas.microsoft.com/office/drawing/2014/main" id="{55831EED-E8E5-EB54-BB20-557F20D82D61}"/>
            </a:ext>
          </a:extLst>
        </xdr:cNvPr>
        <xdr:cNvSpPr>
          <a:spLocks noChangeShapeType="1"/>
        </xdr:cNvSpPr>
      </xdr:nvSpPr>
      <xdr:spPr bwMode="auto">
        <a:xfrm>
          <a:off x="4413250" y="3111500"/>
          <a:ext cx="419100" cy="444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43</xdr:row>
      <xdr:rowOff>12700</xdr:rowOff>
    </xdr:from>
    <xdr:to>
      <xdr:col>13</xdr:col>
      <xdr:colOff>0</xdr:colOff>
      <xdr:row>46</xdr:row>
      <xdr:rowOff>0</xdr:rowOff>
    </xdr:to>
    <xdr:sp macro="" textlink="">
      <xdr:nvSpPr>
        <xdr:cNvPr id="2155" name="Line 107">
          <a:extLst>
            <a:ext uri="{FF2B5EF4-FFF2-40B4-BE49-F238E27FC236}">
              <a16:creationId xmlns:a16="http://schemas.microsoft.com/office/drawing/2014/main" id="{0AD85383-5A7A-33B0-E3DA-887B66F29D91}"/>
            </a:ext>
          </a:extLst>
        </xdr:cNvPr>
        <xdr:cNvSpPr>
          <a:spLocks noChangeShapeType="1"/>
        </xdr:cNvSpPr>
      </xdr:nvSpPr>
      <xdr:spPr bwMode="auto">
        <a:xfrm>
          <a:off x="4203700" y="3340100"/>
          <a:ext cx="209550" cy="215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73</xdr:col>
      <xdr:colOff>0</xdr:colOff>
      <xdr:row>34</xdr:row>
      <xdr:rowOff>0</xdr:rowOff>
    </xdr:from>
    <xdr:to>
      <xdr:col>85</xdr:col>
      <xdr:colOff>0</xdr:colOff>
      <xdr:row>46</xdr:row>
      <xdr:rowOff>0</xdr:rowOff>
    </xdr:to>
    <xdr:sp macro="" textlink="">
      <xdr:nvSpPr>
        <xdr:cNvPr id="2156" name="Line 108">
          <a:extLst>
            <a:ext uri="{FF2B5EF4-FFF2-40B4-BE49-F238E27FC236}">
              <a16:creationId xmlns:a16="http://schemas.microsoft.com/office/drawing/2014/main" id="{FA52CC9D-EADA-062B-187A-984A4809EE03}"/>
            </a:ext>
          </a:extLst>
        </xdr:cNvPr>
        <xdr:cNvSpPr>
          <a:spLocks noChangeShapeType="1"/>
        </xdr:cNvSpPr>
      </xdr:nvSpPr>
      <xdr:spPr bwMode="auto">
        <a:xfrm flipH="1">
          <a:off x="8604250" y="2641600"/>
          <a:ext cx="8382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79</xdr:col>
      <xdr:colOff>0</xdr:colOff>
      <xdr:row>37</xdr:row>
      <xdr:rowOff>0</xdr:rowOff>
    </xdr:from>
    <xdr:to>
      <xdr:col>88</xdr:col>
      <xdr:colOff>0</xdr:colOff>
      <xdr:row>46</xdr:row>
      <xdr:rowOff>0</xdr:rowOff>
    </xdr:to>
    <xdr:sp macro="" textlink="">
      <xdr:nvSpPr>
        <xdr:cNvPr id="2157" name="Line 109">
          <a:extLst>
            <a:ext uri="{FF2B5EF4-FFF2-40B4-BE49-F238E27FC236}">
              <a16:creationId xmlns:a16="http://schemas.microsoft.com/office/drawing/2014/main" id="{0128E002-6552-1541-18B4-95451E6C6F19}"/>
            </a:ext>
          </a:extLst>
        </xdr:cNvPr>
        <xdr:cNvSpPr>
          <a:spLocks noChangeShapeType="1"/>
        </xdr:cNvSpPr>
      </xdr:nvSpPr>
      <xdr:spPr bwMode="auto">
        <a:xfrm flipH="1">
          <a:off x="9023350" y="2870200"/>
          <a:ext cx="628650"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85</xdr:col>
      <xdr:colOff>0</xdr:colOff>
      <xdr:row>40</xdr:row>
      <xdr:rowOff>0</xdr:rowOff>
    </xdr:from>
    <xdr:to>
      <xdr:col>91</xdr:col>
      <xdr:colOff>0</xdr:colOff>
      <xdr:row>46</xdr:row>
      <xdr:rowOff>0</xdr:rowOff>
    </xdr:to>
    <xdr:sp macro="" textlink="">
      <xdr:nvSpPr>
        <xdr:cNvPr id="2158" name="Line 110">
          <a:extLst>
            <a:ext uri="{FF2B5EF4-FFF2-40B4-BE49-F238E27FC236}">
              <a16:creationId xmlns:a16="http://schemas.microsoft.com/office/drawing/2014/main" id="{E741F5D1-035B-8EBE-9559-7666BCA00D55}"/>
            </a:ext>
          </a:extLst>
        </xdr:cNvPr>
        <xdr:cNvSpPr>
          <a:spLocks noChangeShapeType="1"/>
        </xdr:cNvSpPr>
      </xdr:nvSpPr>
      <xdr:spPr bwMode="auto">
        <a:xfrm flipH="1">
          <a:off x="9442450" y="3098800"/>
          <a:ext cx="41910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91</xdr:col>
      <xdr:colOff>0</xdr:colOff>
      <xdr:row>43</xdr:row>
      <xdr:rowOff>0</xdr:rowOff>
    </xdr:from>
    <xdr:to>
      <xdr:col>94</xdr:col>
      <xdr:colOff>0</xdr:colOff>
      <xdr:row>46</xdr:row>
      <xdr:rowOff>0</xdr:rowOff>
    </xdr:to>
    <xdr:sp macro="" textlink="">
      <xdr:nvSpPr>
        <xdr:cNvPr id="2159" name="Line 111">
          <a:extLst>
            <a:ext uri="{FF2B5EF4-FFF2-40B4-BE49-F238E27FC236}">
              <a16:creationId xmlns:a16="http://schemas.microsoft.com/office/drawing/2014/main" id="{C39ABEAC-EA1A-83B6-6440-E4A479A37601}"/>
            </a:ext>
          </a:extLst>
        </xdr:cNvPr>
        <xdr:cNvSpPr>
          <a:spLocks noChangeShapeType="1"/>
        </xdr:cNvSpPr>
      </xdr:nvSpPr>
      <xdr:spPr bwMode="auto">
        <a:xfrm flipH="1">
          <a:off x="9861550" y="3327400"/>
          <a:ext cx="20955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12700</xdr:colOff>
      <xdr:row>1</xdr:row>
      <xdr:rowOff>12700</xdr:rowOff>
    </xdr:from>
    <xdr:to>
      <xdr:col>57</xdr:col>
      <xdr:colOff>0</xdr:colOff>
      <xdr:row>46</xdr:row>
      <xdr:rowOff>0</xdr:rowOff>
    </xdr:to>
    <xdr:sp macro="" textlink="">
      <xdr:nvSpPr>
        <xdr:cNvPr id="25607" name="Line 7">
          <a:extLst>
            <a:ext uri="{FF2B5EF4-FFF2-40B4-BE49-F238E27FC236}">
              <a16:creationId xmlns:a16="http://schemas.microsoft.com/office/drawing/2014/main" id="{359E7190-7333-D829-4B0E-B7AFE801D598}"/>
            </a:ext>
          </a:extLst>
        </xdr:cNvPr>
        <xdr:cNvSpPr>
          <a:spLocks noChangeShapeType="1"/>
        </xdr:cNvSpPr>
      </xdr:nvSpPr>
      <xdr:spPr bwMode="auto">
        <a:xfrm flipV="1">
          <a:off x="553720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25608" name="Line 8">
          <a:extLst>
            <a:ext uri="{FF2B5EF4-FFF2-40B4-BE49-F238E27FC236}">
              <a16:creationId xmlns:a16="http://schemas.microsoft.com/office/drawing/2014/main" id="{FD4B2341-04F1-A878-A94E-87FF430DE417}"/>
            </a:ext>
          </a:extLst>
        </xdr:cNvPr>
        <xdr:cNvSpPr>
          <a:spLocks noChangeShapeType="1"/>
        </xdr:cNvSpPr>
      </xdr:nvSpPr>
      <xdr:spPr bwMode="auto">
        <a:xfrm flipV="1">
          <a:off x="5943600" y="355600"/>
          <a:ext cx="293370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25609" name="Line 9">
          <a:extLst>
            <a:ext uri="{FF2B5EF4-FFF2-40B4-BE49-F238E27FC236}">
              <a16:creationId xmlns:a16="http://schemas.microsoft.com/office/drawing/2014/main" id="{F23C4E50-0886-3501-A01E-162B2B77AC90}"/>
            </a:ext>
          </a:extLst>
        </xdr:cNvPr>
        <xdr:cNvSpPr>
          <a:spLocks noChangeShapeType="1"/>
        </xdr:cNvSpPr>
      </xdr:nvSpPr>
      <xdr:spPr bwMode="auto">
        <a:xfrm flipV="1">
          <a:off x="6362700" y="584200"/>
          <a:ext cx="27241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12700</xdr:colOff>
      <xdr:row>4</xdr:row>
      <xdr:rowOff>12700</xdr:rowOff>
    </xdr:from>
    <xdr:to>
      <xdr:col>96</xdr:col>
      <xdr:colOff>0</xdr:colOff>
      <xdr:row>46</xdr:row>
      <xdr:rowOff>0</xdr:rowOff>
    </xdr:to>
    <xdr:sp macro="" textlink="">
      <xdr:nvSpPr>
        <xdr:cNvPr id="25610" name="Line 10">
          <a:extLst>
            <a:ext uri="{FF2B5EF4-FFF2-40B4-BE49-F238E27FC236}">
              <a16:creationId xmlns:a16="http://schemas.microsoft.com/office/drawing/2014/main" id="{FD77FBD6-6708-C31D-822C-86EE75D1E591}"/>
            </a:ext>
          </a:extLst>
        </xdr:cNvPr>
        <xdr:cNvSpPr>
          <a:spLocks noChangeShapeType="1"/>
        </xdr:cNvSpPr>
      </xdr:nvSpPr>
      <xdr:spPr bwMode="auto">
        <a:xfrm>
          <a:off x="8470900" y="368300"/>
          <a:ext cx="2921000" cy="3187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12700</xdr:colOff>
      <xdr:row>7</xdr:row>
      <xdr:rowOff>0</xdr:rowOff>
    </xdr:from>
    <xdr:to>
      <xdr:col>90</xdr:col>
      <xdr:colOff>0</xdr:colOff>
      <xdr:row>46</xdr:row>
      <xdr:rowOff>0</xdr:rowOff>
    </xdr:to>
    <xdr:sp macro="" textlink="">
      <xdr:nvSpPr>
        <xdr:cNvPr id="25611" name="Line 11">
          <a:extLst>
            <a:ext uri="{FF2B5EF4-FFF2-40B4-BE49-F238E27FC236}">
              <a16:creationId xmlns:a16="http://schemas.microsoft.com/office/drawing/2014/main" id="{8238B2A3-D11D-4892-9BB8-FC82FC6C580D}"/>
            </a:ext>
          </a:extLst>
        </xdr:cNvPr>
        <xdr:cNvSpPr>
          <a:spLocks noChangeShapeType="1"/>
        </xdr:cNvSpPr>
      </xdr:nvSpPr>
      <xdr:spPr bwMode="auto">
        <a:xfrm>
          <a:off x="8261350" y="584200"/>
          <a:ext cx="27114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12700</xdr:colOff>
      <xdr:row>10</xdr:row>
      <xdr:rowOff>0</xdr:rowOff>
    </xdr:from>
    <xdr:to>
      <xdr:col>84</xdr:col>
      <xdr:colOff>0</xdr:colOff>
      <xdr:row>46</xdr:row>
      <xdr:rowOff>0</xdr:rowOff>
    </xdr:to>
    <xdr:sp macro="" textlink="">
      <xdr:nvSpPr>
        <xdr:cNvPr id="25612" name="Line 12">
          <a:extLst>
            <a:ext uri="{FF2B5EF4-FFF2-40B4-BE49-F238E27FC236}">
              <a16:creationId xmlns:a16="http://schemas.microsoft.com/office/drawing/2014/main" id="{0E593B7C-CA11-47EE-B470-A643BEF90017}"/>
            </a:ext>
          </a:extLst>
        </xdr:cNvPr>
        <xdr:cNvSpPr>
          <a:spLocks noChangeShapeType="1"/>
        </xdr:cNvSpPr>
      </xdr:nvSpPr>
      <xdr:spPr bwMode="auto">
        <a:xfrm>
          <a:off x="8051800" y="812800"/>
          <a:ext cx="25019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25613" name="Line 13">
          <a:extLst>
            <a:ext uri="{FF2B5EF4-FFF2-40B4-BE49-F238E27FC236}">
              <a16:creationId xmlns:a16="http://schemas.microsoft.com/office/drawing/2014/main" id="{A5730FA0-7E20-B756-ED1A-9B9DC4F5FEA6}"/>
            </a:ext>
          </a:extLst>
        </xdr:cNvPr>
        <xdr:cNvSpPr>
          <a:spLocks noChangeShapeType="1"/>
        </xdr:cNvSpPr>
      </xdr:nvSpPr>
      <xdr:spPr bwMode="auto">
        <a:xfrm flipH="1">
          <a:off x="6781800" y="812800"/>
          <a:ext cx="25146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12700</xdr:rowOff>
    </xdr:from>
    <xdr:to>
      <xdr:col>69</xdr:col>
      <xdr:colOff>0</xdr:colOff>
      <xdr:row>46</xdr:row>
      <xdr:rowOff>0</xdr:rowOff>
    </xdr:to>
    <xdr:sp macro="" textlink="">
      <xdr:nvSpPr>
        <xdr:cNvPr id="25614" name="Line 14">
          <a:extLst>
            <a:ext uri="{FF2B5EF4-FFF2-40B4-BE49-F238E27FC236}">
              <a16:creationId xmlns:a16="http://schemas.microsoft.com/office/drawing/2014/main" id="{74CABF9E-9DF5-3613-B377-91C978FF73F8}"/>
            </a:ext>
          </a:extLst>
        </xdr:cNvPr>
        <xdr:cNvSpPr>
          <a:spLocks noChangeShapeType="1"/>
        </xdr:cNvSpPr>
      </xdr:nvSpPr>
      <xdr:spPr bwMode="auto">
        <a:xfrm flipH="1">
          <a:off x="720090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25615" name="Line 15">
          <a:extLst>
            <a:ext uri="{FF2B5EF4-FFF2-40B4-BE49-F238E27FC236}">
              <a16:creationId xmlns:a16="http://schemas.microsoft.com/office/drawing/2014/main" id="{1BADE37C-E0B7-62AF-948D-03354B262775}"/>
            </a:ext>
          </a:extLst>
        </xdr:cNvPr>
        <xdr:cNvSpPr>
          <a:spLocks noChangeShapeType="1"/>
        </xdr:cNvSpPr>
      </xdr:nvSpPr>
      <xdr:spPr bwMode="auto">
        <a:xfrm flipH="1">
          <a:off x="7620000" y="1270000"/>
          <a:ext cx="209550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25616" name="Line 16">
          <a:extLst>
            <a:ext uri="{FF2B5EF4-FFF2-40B4-BE49-F238E27FC236}">
              <a16:creationId xmlns:a16="http://schemas.microsoft.com/office/drawing/2014/main" id="{A1AFE3C1-BB67-1827-FA4E-BC8E38B20F21}"/>
            </a:ext>
          </a:extLst>
        </xdr:cNvPr>
        <xdr:cNvSpPr>
          <a:spLocks noChangeShapeType="1"/>
        </xdr:cNvSpPr>
      </xdr:nvSpPr>
      <xdr:spPr bwMode="auto">
        <a:xfrm flipH="1">
          <a:off x="8039100" y="1498600"/>
          <a:ext cx="1885950"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12700</xdr:rowOff>
    </xdr:from>
    <xdr:to>
      <xdr:col>78</xdr:col>
      <xdr:colOff>0</xdr:colOff>
      <xdr:row>46</xdr:row>
      <xdr:rowOff>0</xdr:rowOff>
    </xdr:to>
    <xdr:sp macro="" textlink="">
      <xdr:nvSpPr>
        <xdr:cNvPr id="25617" name="Line 17">
          <a:extLst>
            <a:ext uri="{FF2B5EF4-FFF2-40B4-BE49-F238E27FC236}">
              <a16:creationId xmlns:a16="http://schemas.microsoft.com/office/drawing/2014/main" id="{2A6194AB-A4CB-43DD-878A-7EEA1149942C}"/>
            </a:ext>
          </a:extLst>
        </xdr:cNvPr>
        <xdr:cNvSpPr>
          <a:spLocks noChangeShapeType="1"/>
        </xdr:cNvSpPr>
      </xdr:nvSpPr>
      <xdr:spPr bwMode="auto">
        <a:xfrm>
          <a:off x="782955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12700</xdr:colOff>
      <xdr:row>16</xdr:row>
      <xdr:rowOff>12700</xdr:rowOff>
    </xdr:from>
    <xdr:to>
      <xdr:col>72</xdr:col>
      <xdr:colOff>0</xdr:colOff>
      <xdr:row>46</xdr:row>
      <xdr:rowOff>0</xdr:rowOff>
    </xdr:to>
    <xdr:sp macro="" textlink="">
      <xdr:nvSpPr>
        <xdr:cNvPr id="25618" name="Line 18">
          <a:extLst>
            <a:ext uri="{FF2B5EF4-FFF2-40B4-BE49-F238E27FC236}">
              <a16:creationId xmlns:a16="http://schemas.microsoft.com/office/drawing/2014/main" id="{CD788768-1330-F0CB-CB5F-8F1CC94D8F31}"/>
            </a:ext>
          </a:extLst>
        </xdr:cNvPr>
        <xdr:cNvSpPr>
          <a:spLocks noChangeShapeType="1"/>
        </xdr:cNvSpPr>
      </xdr:nvSpPr>
      <xdr:spPr bwMode="auto">
        <a:xfrm>
          <a:off x="7632700" y="1282700"/>
          <a:ext cx="2082800" cy="2273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12700</xdr:colOff>
      <xdr:row>19</xdr:row>
      <xdr:rowOff>12700</xdr:rowOff>
    </xdr:from>
    <xdr:to>
      <xdr:col>66</xdr:col>
      <xdr:colOff>0</xdr:colOff>
      <xdr:row>46</xdr:row>
      <xdr:rowOff>0</xdr:rowOff>
    </xdr:to>
    <xdr:sp macro="" textlink="">
      <xdr:nvSpPr>
        <xdr:cNvPr id="25619" name="Line 19">
          <a:extLst>
            <a:ext uri="{FF2B5EF4-FFF2-40B4-BE49-F238E27FC236}">
              <a16:creationId xmlns:a16="http://schemas.microsoft.com/office/drawing/2014/main" id="{A39377A6-7D31-C3E8-600F-00759E926160}"/>
            </a:ext>
          </a:extLst>
        </xdr:cNvPr>
        <xdr:cNvSpPr>
          <a:spLocks noChangeShapeType="1"/>
        </xdr:cNvSpPr>
      </xdr:nvSpPr>
      <xdr:spPr bwMode="auto">
        <a:xfrm>
          <a:off x="7423150" y="1511300"/>
          <a:ext cx="1873250" cy="204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12700</xdr:rowOff>
    </xdr:from>
    <xdr:to>
      <xdr:col>78</xdr:col>
      <xdr:colOff>0</xdr:colOff>
      <xdr:row>46</xdr:row>
      <xdr:rowOff>0</xdr:rowOff>
    </xdr:to>
    <xdr:sp macro="" textlink="">
      <xdr:nvSpPr>
        <xdr:cNvPr id="25620" name="Line 20">
          <a:extLst>
            <a:ext uri="{FF2B5EF4-FFF2-40B4-BE49-F238E27FC236}">
              <a16:creationId xmlns:a16="http://schemas.microsoft.com/office/drawing/2014/main" id="{241E0C3B-9FEB-C949-446E-3D3B7ED61BFB}"/>
            </a:ext>
          </a:extLst>
        </xdr:cNvPr>
        <xdr:cNvSpPr>
          <a:spLocks noChangeShapeType="1"/>
        </xdr:cNvSpPr>
      </xdr:nvSpPr>
      <xdr:spPr bwMode="auto">
        <a:xfrm flipH="1">
          <a:off x="8458200" y="1739900"/>
          <a:ext cx="16764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12700</xdr:colOff>
      <xdr:row>22</xdr:row>
      <xdr:rowOff>12700</xdr:rowOff>
    </xdr:from>
    <xdr:to>
      <xdr:col>60</xdr:col>
      <xdr:colOff>0</xdr:colOff>
      <xdr:row>46</xdr:row>
      <xdr:rowOff>0</xdr:rowOff>
    </xdr:to>
    <xdr:sp macro="" textlink="">
      <xdr:nvSpPr>
        <xdr:cNvPr id="25621" name="Line 21">
          <a:extLst>
            <a:ext uri="{FF2B5EF4-FFF2-40B4-BE49-F238E27FC236}">
              <a16:creationId xmlns:a16="http://schemas.microsoft.com/office/drawing/2014/main" id="{E2DD404C-BCBF-BC29-020B-67DF439666CE}"/>
            </a:ext>
          </a:extLst>
        </xdr:cNvPr>
        <xdr:cNvSpPr>
          <a:spLocks noChangeShapeType="1"/>
        </xdr:cNvSpPr>
      </xdr:nvSpPr>
      <xdr:spPr bwMode="auto">
        <a:xfrm>
          <a:off x="7213600" y="1739900"/>
          <a:ext cx="16637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25622" name="Line 22">
          <a:extLst>
            <a:ext uri="{FF2B5EF4-FFF2-40B4-BE49-F238E27FC236}">
              <a16:creationId xmlns:a16="http://schemas.microsoft.com/office/drawing/2014/main" id="{C6B6108B-7EB7-6E3A-45D7-BDC18E3963FA}"/>
            </a:ext>
          </a:extLst>
        </xdr:cNvPr>
        <xdr:cNvSpPr>
          <a:spLocks noChangeShapeType="1"/>
        </xdr:cNvSpPr>
      </xdr:nvSpPr>
      <xdr:spPr bwMode="auto">
        <a:xfrm flipH="1">
          <a:off x="8877300" y="1955800"/>
          <a:ext cx="14668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25623" name="Line 23">
          <a:extLst>
            <a:ext uri="{FF2B5EF4-FFF2-40B4-BE49-F238E27FC236}">
              <a16:creationId xmlns:a16="http://schemas.microsoft.com/office/drawing/2014/main" id="{27B51E4C-8130-D791-D60E-1C3C3E14AFA3}"/>
            </a:ext>
          </a:extLst>
        </xdr:cNvPr>
        <xdr:cNvSpPr>
          <a:spLocks noChangeShapeType="1"/>
        </xdr:cNvSpPr>
      </xdr:nvSpPr>
      <xdr:spPr bwMode="auto">
        <a:xfrm flipH="1">
          <a:off x="9296400" y="2184400"/>
          <a:ext cx="125730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25624" name="Line 24">
          <a:extLst>
            <a:ext uri="{FF2B5EF4-FFF2-40B4-BE49-F238E27FC236}">
              <a16:creationId xmlns:a16="http://schemas.microsoft.com/office/drawing/2014/main" id="{59A2AEDF-095F-466B-836B-6DAA062FF5FB}"/>
            </a:ext>
          </a:extLst>
        </xdr:cNvPr>
        <xdr:cNvSpPr>
          <a:spLocks noChangeShapeType="1"/>
        </xdr:cNvSpPr>
      </xdr:nvSpPr>
      <xdr:spPr bwMode="auto">
        <a:xfrm flipH="1">
          <a:off x="9715500" y="2413000"/>
          <a:ext cx="1047750"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12700</xdr:rowOff>
    </xdr:from>
    <xdr:to>
      <xdr:col>54</xdr:col>
      <xdr:colOff>0</xdr:colOff>
      <xdr:row>46</xdr:row>
      <xdr:rowOff>0</xdr:rowOff>
    </xdr:to>
    <xdr:sp macro="" textlink="">
      <xdr:nvSpPr>
        <xdr:cNvPr id="25625" name="Line 25">
          <a:extLst>
            <a:ext uri="{FF2B5EF4-FFF2-40B4-BE49-F238E27FC236}">
              <a16:creationId xmlns:a16="http://schemas.microsoft.com/office/drawing/2014/main" id="{567F935B-22B9-EFEB-7DA5-16855D2DF617}"/>
            </a:ext>
          </a:extLst>
        </xdr:cNvPr>
        <xdr:cNvSpPr>
          <a:spLocks noChangeShapeType="1"/>
        </xdr:cNvSpPr>
      </xdr:nvSpPr>
      <xdr:spPr bwMode="auto">
        <a:xfrm>
          <a:off x="6991350" y="1968500"/>
          <a:ext cx="1466850" cy="1587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12700</xdr:colOff>
      <xdr:row>28</xdr:row>
      <xdr:rowOff>12700</xdr:rowOff>
    </xdr:from>
    <xdr:to>
      <xdr:col>48</xdr:col>
      <xdr:colOff>0</xdr:colOff>
      <xdr:row>46</xdr:row>
      <xdr:rowOff>0</xdr:rowOff>
    </xdr:to>
    <xdr:sp macro="" textlink="">
      <xdr:nvSpPr>
        <xdr:cNvPr id="25626" name="Line 26">
          <a:extLst>
            <a:ext uri="{FF2B5EF4-FFF2-40B4-BE49-F238E27FC236}">
              <a16:creationId xmlns:a16="http://schemas.microsoft.com/office/drawing/2014/main" id="{5F54139A-E67D-48DD-2A2D-CFB53DDC1F7B}"/>
            </a:ext>
          </a:extLst>
        </xdr:cNvPr>
        <xdr:cNvSpPr>
          <a:spLocks noChangeShapeType="1"/>
        </xdr:cNvSpPr>
      </xdr:nvSpPr>
      <xdr:spPr bwMode="auto">
        <a:xfrm>
          <a:off x="6794500" y="2197100"/>
          <a:ext cx="1244600" cy="1358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12700</xdr:colOff>
      <xdr:row>31</xdr:row>
      <xdr:rowOff>12700</xdr:rowOff>
    </xdr:from>
    <xdr:to>
      <xdr:col>42</xdr:col>
      <xdr:colOff>0</xdr:colOff>
      <xdr:row>46</xdr:row>
      <xdr:rowOff>0</xdr:rowOff>
    </xdr:to>
    <xdr:sp macro="" textlink="">
      <xdr:nvSpPr>
        <xdr:cNvPr id="25627" name="Line 27">
          <a:extLst>
            <a:ext uri="{FF2B5EF4-FFF2-40B4-BE49-F238E27FC236}">
              <a16:creationId xmlns:a16="http://schemas.microsoft.com/office/drawing/2014/main" id="{2D2DB163-A6D3-D576-B0A7-4F393860ED33}"/>
            </a:ext>
          </a:extLst>
        </xdr:cNvPr>
        <xdr:cNvSpPr>
          <a:spLocks noChangeShapeType="1"/>
        </xdr:cNvSpPr>
      </xdr:nvSpPr>
      <xdr:spPr bwMode="auto">
        <a:xfrm>
          <a:off x="6584950" y="2425700"/>
          <a:ext cx="1035050" cy="1130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12700</xdr:colOff>
      <xdr:row>34</xdr:row>
      <xdr:rowOff>12700</xdr:rowOff>
    </xdr:from>
    <xdr:to>
      <xdr:col>36</xdr:col>
      <xdr:colOff>0</xdr:colOff>
      <xdr:row>46</xdr:row>
      <xdr:rowOff>0</xdr:rowOff>
    </xdr:to>
    <xdr:sp macro="" textlink="">
      <xdr:nvSpPr>
        <xdr:cNvPr id="25628" name="Line 28">
          <a:extLst>
            <a:ext uri="{FF2B5EF4-FFF2-40B4-BE49-F238E27FC236}">
              <a16:creationId xmlns:a16="http://schemas.microsoft.com/office/drawing/2014/main" id="{4D94D02C-3829-F5ED-EE8F-3F55ACA9BCE0}"/>
            </a:ext>
          </a:extLst>
        </xdr:cNvPr>
        <xdr:cNvSpPr>
          <a:spLocks noChangeShapeType="1"/>
        </xdr:cNvSpPr>
      </xdr:nvSpPr>
      <xdr:spPr bwMode="auto">
        <a:xfrm>
          <a:off x="6375400" y="2654300"/>
          <a:ext cx="825500" cy="901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12700</xdr:rowOff>
    </xdr:from>
    <xdr:to>
      <xdr:col>30</xdr:col>
      <xdr:colOff>0</xdr:colOff>
      <xdr:row>46</xdr:row>
      <xdr:rowOff>0</xdr:rowOff>
    </xdr:to>
    <xdr:sp macro="" textlink="">
      <xdr:nvSpPr>
        <xdr:cNvPr id="25629" name="Line 29">
          <a:extLst>
            <a:ext uri="{FF2B5EF4-FFF2-40B4-BE49-F238E27FC236}">
              <a16:creationId xmlns:a16="http://schemas.microsoft.com/office/drawing/2014/main" id="{37FD1CF4-4CBB-9603-C833-151A2995C80A}"/>
            </a:ext>
          </a:extLst>
        </xdr:cNvPr>
        <xdr:cNvSpPr>
          <a:spLocks noChangeShapeType="1"/>
        </xdr:cNvSpPr>
      </xdr:nvSpPr>
      <xdr:spPr bwMode="auto">
        <a:xfrm>
          <a:off x="6153150" y="2882900"/>
          <a:ext cx="628650" cy="673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12700</xdr:rowOff>
    </xdr:from>
    <xdr:to>
      <xdr:col>24</xdr:col>
      <xdr:colOff>0</xdr:colOff>
      <xdr:row>46</xdr:row>
      <xdr:rowOff>0</xdr:rowOff>
    </xdr:to>
    <xdr:sp macro="" textlink="">
      <xdr:nvSpPr>
        <xdr:cNvPr id="25630" name="Line 30">
          <a:extLst>
            <a:ext uri="{FF2B5EF4-FFF2-40B4-BE49-F238E27FC236}">
              <a16:creationId xmlns:a16="http://schemas.microsoft.com/office/drawing/2014/main" id="{2ADA3A08-96E9-C036-DE1F-65725F6750C3}"/>
            </a:ext>
          </a:extLst>
        </xdr:cNvPr>
        <xdr:cNvSpPr>
          <a:spLocks noChangeShapeType="1"/>
        </xdr:cNvSpPr>
      </xdr:nvSpPr>
      <xdr:spPr bwMode="auto">
        <a:xfrm>
          <a:off x="5943600" y="3111500"/>
          <a:ext cx="419100" cy="444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12700</xdr:rowOff>
    </xdr:from>
    <xdr:to>
      <xdr:col>18</xdr:col>
      <xdr:colOff>0</xdr:colOff>
      <xdr:row>46</xdr:row>
      <xdr:rowOff>0</xdr:rowOff>
    </xdr:to>
    <xdr:sp macro="" textlink="">
      <xdr:nvSpPr>
        <xdr:cNvPr id="25631" name="Line 31">
          <a:extLst>
            <a:ext uri="{FF2B5EF4-FFF2-40B4-BE49-F238E27FC236}">
              <a16:creationId xmlns:a16="http://schemas.microsoft.com/office/drawing/2014/main" id="{72B4D5EA-1B59-DCA4-C62A-E053500869F5}"/>
            </a:ext>
          </a:extLst>
        </xdr:cNvPr>
        <xdr:cNvSpPr>
          <a:spLocks noChangeShapeType="1"/>
        </xdr:cNvSpPr>
      </xdr:nvSpPr>
      <xdr:spPr bwMode="auto">
        <a:xfrm>
          <a:off x="5734050" y="3340100"/>
          <a:ext cx="209550" cy="215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25632" name="Line 32">
          <a:extLst>
            <a:ext uri="{FF2B5EF4-FFF2-40B4-BE49-F238E27FC236}">
              <a16:creationId xmlns:a16="http://schemas.microsoft.com/office/drawing/2014/main" id="{A97840A3-385B-1D3F-A6D3-B452866DA899}"/>
            </a:ext>
          </a:extLst>
        </xdr:cNvPr>
        <xdr:cNvSpPr>
          <a:spLocks noChangeShapeType="1"/>
        </xdr:cNvSpPr>
      </xdr:nvSpPr>
      <xdr:spPr bwMode="auto">
        <a:xfrm flipH="1">
          <a:off x="10134600" y="2641600"/>
          <a:ext cx="8382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25633" name="Line 33">
          <a:extLst>
            <a:ext uri="{FF2B5EF4-FFF2-40B4-BE49-F238E27FC236}">
              <a16:creationId xmlns:a16="http://schemas.microsoft.com/office/drawing/2014/main" id="{838C53B5-51D2-3541-E34C-91691C7BC71F}"/>
            </a:ext>
          </a:extLst>
        </xdr:cNvPr>
        <xdr:cNvSpPr>
          <a:spLocks noChangeShapeType="1"/>
        </xdr:cNvSpPr>
      </xdr:nvSpPr>
      <xdr:spPr bwMode="auto">
        <a:xfrm flipH="1">
          <a:off x="10553700" y="2870200"/>
          <a:ext cx="628650"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25634" name="Line 34">
          <a:extLst>
            <a:ext uri="{FF2B5EF4-FFF2-40B4-BE49-F238E27FC236}">
              <a16:creationId xmlns:a16="http://schemas.microsoft.com/office/drawing/2014/main" id="{E8400D99-6184-63C5-2713-737563E30684}"/>
            </a:ext>
          </a:extLst>
        </xdr:cNvPr>
        <xdr:cNvSpPr>
          <a:spLocks noChangeShapeType="1"/>
        </xdr:cNvSpPr>
      </xdr:nvSpPr>
      <xdr:spPr bwMode="auto">
        <a:xfrm flipH="1">
          <a:off x="10972800" y="3098800"/>
          <a:ext cx="41910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25635" name="Line 35">
          <a:extLst>
            <a:ext uri="{FF2B5EF4-FFF2-40B4-BE49-F238E27FC236}">
              <a16:creationId xmlns:a16="http://schemas.microsoft.com/office/drawing/2014/main" id="{BCD25837-D607-3655-8697-24DF4AB7E74C}"/>
            </a:ext>
          </a:extLst>
        </xdr:cNvPr>
        <xdr:cNvSpPr>
          <a:spLocks noChangeShapeType="1"/>
        </xdr:cNvSpPr>
      </xdr:nvSpPr>
      <xdr:spPr bwMode="auto">
        <a:xfrm flipH="1">
          <a:off x="11391900" y="3327400"/>
          <a:ext cx="20955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12700</xdr:colOff>
      <xdr:row>1</xdr:row>
      <xdr:rowOff>12700</xdr:rowOff>
    </xdr:from>
    <xdr:to>
      <xdr:col>102</xdr:col>
      <xdr:colOff>0</xdr:colOff>
      <xdr:row>46</xdr:row>
      <xdr:rowOff>0</xdr:rowOff>
    </xdr:to>
    <xdr:sp macro="" textlink="">
      <xdr:nvSpPr>
        <xdr:cNvPr id="25636" name="Line 36">
          <a:extLst>
            <a:ext uri="{FF2B5EF4-FFF2-40B4-BE49-F238E27FC236}">
              <a16:creationId xmlns:a16="http://schemas.microsoft.com/office/drawing/2014/main" id="{71BF2C94-4E2B-C0EF-6AFA-38333D0ADE93}"/>
            </a:ext>
          </a:extLst>
        </xdr:cNvPr>
        <xdr:cNvSpPr>
          <a:spLocks noChangeShapeType="1"/>
        </xdr:cNvSpPr>
      </xdr:nvSpPr>
      <xdr:spPr bwMode="auto">
        <a:xfrm>
          <a:off x="868045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12700</xdr:colOff>
      <xdr:row>1</xdr:row>
      <xdr:rowOff>12700</xdr:rowOff>
    </xdr:from>
    <xdr:to>
      <xdr:col>57</xdr:col>
      <xdr:colOff>0</xdr:colOff>
      <xdr:row>46</xdr:row>
      <xdr:rowOff>0</xdr:rowOff>
    </xdr:to>
    <xdr:sp macro="" textlink="">
      <xdr:nvSpPr>
        <xdr:cNvPr id="29697" name="Line 1">
          <a:extLst>
            <a:ext uri="{FF2B5EF4-FFF2-40B4-BE49-F238E27FC236}">
              <a16:creationId xmlns:a16="http://schemas.microsoft.com/office/drawing/2014/main" id="{F53452F7-C7A7-BF11-0068-DD73BCD8BC07}"/>
            </a:ext>
          </a:extLst>
        </xdr:cNvPr>
        <xdr:cNvSpPr>
          <a:spLocks noChangeShapeType="1"/>
        </xdr:cNvSpPr>
      </xdr:nvSpPr>
      <xdr:spPr bwMode="auto">
        <a:xfrm flipV="1">
          <a:off x="553720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29698" name="Line 2">
          <a:extLst>
            <a:ext uri="{FF2B5EF4-FFF2-40B4-BE49-F238E27FC236}">
              <a16:creationId xmlns:a16="http://schemas.microsoft.com/office/drawing/2014/main" id="{12E814B6-8E39-DB2F-C783-A293EECCCC3A}"/>
            </a:ext>
          </a:extLst>
        </xdr:cNvPr>
        <xdr:cNvSpPr>
          <a:spLocks noChangeShapeType="1"/>
        </xdr:cNvSpPr>
      </xdr:nvSpPr>
      <xdr:spPr bwMode="auto">
        <a:xfrm flipV="1">
          <a:off x="5943600" y="355600"/>
          <a:ext cx="293370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29699" name="Line 3">
          <a:extLst>
            <a:ext uri="{FF2B5EF4-FFF2-40B4-BE49-F238E27FC236}">
              <a16:creationId xmlns:a16="http://schemas.microsoft.com/office/drawing/2014/main" id="{00C38061-9114-4D49-80D6-6D062588CAD0}"/>
            </a:ext>
          </a:extLst>
        </xdr:cNvPr>
        <xdr:cNvSpPr>
          <a:spLocks noChangeShapeType="1"/>
        </xdr:cNvSpPr>
      </xdr:nvSpPr>
      <xdr:spPr bwMode="auto">
        <a:xfrm flipV="1">
          <a:off x="6362700" y="584200"/>
          <a:ext cx="27241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12700</xdr:colOff>
      <xdr:row>4</xdr:row>
      <xdr:rowOff>12700</xdr:rowOff>
    </xdr:from>
    <xdr:to>
      <xdr:col>96</xdr:col>
      <xdr:colOff>0</xdr:colOff>
      <xdr:row>46</xdr:row>
      <xdr:rowOff>0</xdr:rowOff>
    </xdr:to>
    <xdr:sp macro="" textlink="">
      <xdr:nvSpPr>
        <xdr:cNvPr id="29700" name="Line 4">
          <a:extLst>
            <a:ext uri="{FF2B5EF4-FFF2-40B4-BE49-F238E27FC236}">
              <a16:creationId xmlns:a16="http://schemas.microsoft.com/office/drawing/2014/main" id="{9B681ED2-A33C-4DCD-AC9E-D9AA44C6ED11}"/>
            </a:ext>
          </a:extLst>
        </xdr:cNvPr>
        <xdr:cNvSpPr>
          <a:spLocks noChangeShapeType="1"/>
        </xdr:cNvSpPr>
      </xdr:nvSpPr>
      <xdr:spPr bwMode="auto">
        <a:xfrm>
          <a:off x="8470900" y="368300"/>
          <a:ext cx="2921000" cy="3187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12700</xdr:colOff>
      <xdr:row>7</xdr:row>
      <xdr:rowOff>0</xdr:rowOff>
    </xdr:from>
    <xdr:to>
      <xdr:col>90</xdr:col>
      <xdr:colOff>0</xdr:colOff>
      <xdr:row>46</xdr:row>
      <xdr:rowOff>0</xdr:rowOff>
    </xdr:to>
    <xdr:sp macro="" textlink="">
      <xdr:nvSpPr>
        <xdr:cNvPr id="29701" name="Line 5">
          <a:extLst>
            <a:ext uri="{FF2B5EF4-FFF2-40B4-BE49-F238E27FC236}">
              <a16:creationId xmlns:a16="http://schemas.microsoft.com/office/drawing/2014/main" id="{4BA05557-446F-0A6F-5B73-3875D2AEB13F}"/>
            </a:ext>
          </a:extLst>
        </xdr:cNvPr>
        <xdr:cNvSpPr>
          <a:spLocks noChangeShapeType="1"/>
        </xdr:cNvSpPr>
      </xdr:nvSpPr>
      <xdr:spPr bwMode="auto">
        <a:xfrm>
          <a:off x="8261350" y="584200"/>
          <a:ext cx="27114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12700</xdr:colOff>
      <xdr:row>10</xdr:row>
      <xdr:rowOff>0</xdr:rowOff>
    </xdr:from>
    <xdr:to>
      <xdr:col>84</xdr:col>
      <xdr:colOff>0</xdr:colOff>
      <xdr:row>46</xdr:row>
      <xdr:rowOff>0</xdr:rowOff>
    </xdr:to>
    <xdr:sp macro="" textlink="">
      <xdr:nvSpPr>
        <xdr:cNvPr id="29702" name="Line 6">
          <a:extLst>
            <a:ext uri="{FF2B5EF4-FFF2-40B4-BE49-F238E27FC236}">
              <a16:creationId xmlns:a16="http://schemas.microsoft.com/office/drawing/2014/main" id="{ED572487-6B4D-42E4-F49D-8DF9EE7ED646}"/>
            </a:ext>
          </a:extLst>
        </xdr:cNvPr>
        <xdr:cNvSpPr>
          <a:spLocks noChangeShapeType="1"/>
        </xdr:cNvSpPr>
      </xdr:nvSpPr>
      <xdr:spPr bwMode="auto">
        <a:xfrm>
          <a:off x="8051800" y="812800"/>
          <a:ext cx="25019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29703" name="Line 7">
          <a:extLst>
            <a:ext uri="{FF2B5EF4-FFF2-40B4-BE49-F238E27FC236}">
              <a16:creationId xmlns:a16="http://schemas.microsoft.com/office/drawing/2014/main" id="{68DF6073-EC0D-36D0-E4E0-D4727339CAC3}"/>
            </a:ext>
          </a:extLst>
        </xdr:cNvPr>
        <xdr:cNvSpPr>
          <a:spLocks noChangeShapeType="1"/>
        </xdr:cNvSpPr>
      </xdr:nvSpPr>
      <xdr:spPr bwMode="auto">
        <a:xfrm flipH="1">
          <a:off x="6781800" y="812800"/>
          <a:ext cx="25146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12700</xdr:rowOff>
    </xdr:from>
    <xdr:to>
      <xdr:col>69</xdr:col>
      <xdr:colOff>0</xdr:colOff>
      <xdr:row>46</xdr:row>
      <xdr:rowOff>0</xdr:rowOff>
    </xdr:to>
    <xdr:sp macro="" textlink="">
      <xdr:nvSpPr>
        <xdr:cNvPr id="29704" name="Line 8">
          <a:extLst>
            <a:ext uri="{FF2B5EF4-FFF2-40B4-BE49-F238E27FC236}">
              <a16:creationId xmlns:a16="http://schemas.microsoft.com/office/drawing/2014/main" id="{89A0D7DA-C208-360A-A881-98028D7F1746}"/>
            </a:ext>
          </a:extLst>
        </xdr:cNvPr>
        <xdr:cNvSpPr>
          <a:spLocks noChangeShapeType="1"/>
        </xdr:cNvSpPr>
      </xdr:nvSpPr>
      <xdr:spPr bwMode="auto">
        <a:xfrm flipH="1">
          <a:off x="720090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29705" name="Line 9">
          <a:extLst>
            <a:ext uri="{FF2B5EF4-FFF2-40B4-BE49-F238E27FC236}">
              <a16:creationId xmlns:a16="http://schemas.microsoft.com/office/drawing/2014/main" id="{F1DA3D96-832F-FD81-696A-000816919A18}"/>
            </a:ext>
          </a:extLst>
        </xdr:cNvPr>
        <xdr:cNvSpPr>
          <a:spLocks noChangeShapeType="1"/>
        </xdr:cNvSpPr>
      </xdr:nvSpPr>
      <xdr:spPr bwMode="auto">
        <a:xfrm flipH="1">
          <a:off x="7620000" y="1270000"/>
          <a:ext cx="209550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29706" name="Line 10">
          <a:extLst>
            <a:ext uri="{FF2B5EF4-FFF2-40B4-BE49-F238E27FC236}">
              <a16:creationId xmlns:a16="http://schemas.microsoft.com/office/drawing/2014/main" id="{E3765DEC-57C8-89C9-F551-2728E0AF6FDD}"/>
            </a:ext>
          </a:extLst>
        </xdr:cNvPr>
        <xdr:cNvSpPr>
          <a:spLocks noChangeShapeType="1"/>
        </xdr:cNvSpPr>
      </xdr:nvSpPr>
      <xdr:spPr bwMode="auto">
        <a:xfrm flipH="1">
          <a:off x="8039100" y="1498600"/>
          <a:ext cx="1885950"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12700</xdr:rowOff>
    </xdr:from>
    <xdr:to>
      <xdr:col>78</xdr:col>
      <xdr:colOff>0</xdr:colOff>
      <xdr:row>46</xdr:row>
      <xdr:rowOff>0</xdr:rowOff>
    </xdr:to>
    <xdr:sp macro="" textlink="">
      <xdr:nvSpPr>
        <xdr:cNvPr id="29707" name="Line 11">
          <a:extLst>
            <a:ext uri="{FF2B5EF4-FFF2-40B4-BE49-F238E27FC236}">
              <a16:creationId xmlns:a16="http://schemas.microsoft.com/office/drawing/2014/main" id="{8BDBE891-C5ED-3A32-83EE-F58547BBD21F}"/>
            </a:ext>
          </a:extLst>
        </xdr:cNvPr>
        <xdr:cNvSpPr>
          <a:spLocks noChangeShapeType="1"/>
        </xdr:cNvSpPr>
      </xdr:nvSpPr>
      <xdr:spPr bwMode="auto">
        <a:xfrm>
          <a:off x="782955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12700</xdr:colOff>
      <xdr:row>16</xdr:row>
      <xdr:rowOff>12700</xdr:rowOff>
    </xdr:from>
    <xdr:to>
      <xdr:col>72</xdr:col>
      <xdr:colOff>0</xdr:colOff>
      <xdr:row>46</xdr:row>
      <xdr:rowOff>0</xdr:rowOff>
    </xdr:to>
    <xdr:sp macro="" textlink="">
      <xdr:nvSpPr>
        <xdr:cNvPr id="29708" name="Line 12">
          <a:extLst>
            <a:ext uri="{FF2B5EF4-FFF2-40B4-BE49-F238E27FC236}">
              <a16:creationId xmlns:a16="http://schemas.microsoft.com/office/drawing/2014/main" id="{A00EFABC-2001-6D83-E830-9AEB0932F89C}"/>
            </a:ext>
          </a:extLst>
        </xdr:cNvPr>
        <xdr:cNvSpPr>
          <a:spLocks noChangeShapeType="1"/>
        </xdr:cNvSpPr>
      </xdr:nvSpPr>
      <xdr:spPr bwMode="auto">
        <a:xfrm>
          <a:off x="7632700" y="1282700"/>
          <a:ext cx="2082800" cy="2273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12700</xdr:colOff>
      <xdr:row>19</xdr:row>
      <xdr:rowOff>12700</xdr:rowOff>
    </xdr:from>
    <xdr:to>
      <xdr:col>66</xdr:col>
      <xdr:colOff>0</xdr:colOff>
      <xdr:row>46</xdr:row>
      <xdr:rowOff>0</xdr:rowOff>
    </xdr:to>
    <xdr:sp macro="" textlink="">
      <xdr:nvSpPr>
        <xdr:cNvPr id="29709" name="Line 13">
          <a:extLst>
            <a:ext uri="{FF2B5EF4-FFF2-40B4-BE49-F238E27FC236}">
              <a16:creationId xmlns:a16="http://schemas.microsoft.com/office/drawing/2014/main" id="{6A6B28EB-2295-9D10-4FF2-EEFA86B076EF}"/>
            </a:ext>
          </a:extLst>
        </xdr:cNvPr>
        <xdr:cNvSpPr>
          <a:spLocks noChangeShapeType="1"/>
        </xdr:cNvSpPr>
      </xdr:nvSpPr>
      <xdr:spPr bwMode="auto">
        <a:xfrm>
          <a:off x="7423150" y="1511300"/>
          <a:ext cx="1873250" cy="204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12700</xdr:rowOff>
    </xdr:from>
    <xdr:to>
      <xdr:col>78</xdr:col>
      <xdr:colOff>0</xdr:colOff>
      <xdr:row>46</xdr:row>
      <xdr:rowOff>0</xdr:rowOff>
    </xdr:to>
    <xdr:sp macro="" textlink="">
      <xdr:nvSpPr>
        <xdr:cNvPr id="29710" name="Line 14">
          <a:extLst>
            <a:ext uri="{FF2B5EF4-FFF2-40B4-BE49-F238E27FC236}">
              <a16:creationId xmlns:a16="http://schemas.microsoft.com/office/drawing/2014/main" id="{A215BAA2-42CE-5F9C-9EB5-EF2E839ABEFF}"/>
            </a:ext>
          </a:extLst>
        </xdr:cNvPr>
        <xdr:cNvSpPr>
          <a:spLocks noChangeShapeType="1"/>
        </xdr:cNvSpPr>
      </xdr:nvSpPr>
      <xdr:spPr bwMode="auto">
        <a:xfrm flipH="1">
          <a:off x="8458200" y="1739900"/>
          <a:ext cx="16764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12700</xdr:colOff>
      <xdr:row>22</xdr:row>
      <xdr:rowOff>12700</xdr:rowOff>
    </xdr:from>
    <xdr:to>
      <xdr:col>60</xdr:col>
      <xdr:colOff>0</xdr:colOff>
      <xdr:row>46</xdr:row>
      <xdr:rowOff>0</xdr:rowOff>
    </xdr:to>
    <xdr:sp macro="" textlink="">
      <xdr:nvSpPr>
        <xdr:cNvPr id="29711" name="Line 15">
          <a:extLst>
            <a:ext uri="{FF2B5EF4-FFF2-40B4-BE49-F238E27FC236}">
              <a16:creationId xmlns:a16="http://schemas.microsoft.com/office/drawing/2014/main" id="{EFAF0AD1-B381-50C1-69C8-BC5353C5B7A0}"/>
            </a:ext>
          </a:extLst>
        </xdr:cNvPr>
        <xdr:cNvSpPr>
          <a:spLocks noChangeShapeType="1"/>
        </xdr:cNvSpPr>
      </xdr:nvSpPr>
      <xdr:spPr bwMode="auto">
        <a:xfrm>
          <a:off x="7213600" y="1739900"/>
          <a:ext cx="16637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29712" name="Line 16">
          <a:extLst>
            <a:ext uri="{FF2B5EF4-FFF2-40B4-BE49-F238E27FC236}">
              <a16:creationId xmlns:a16="http://schemas.microsoft.com/office/drawing/2014/main" id="{4FECD03B-B009-0D20-71CB-45327B1AB19B}"/>
            </a:ext>
          </a:extLst>
        </xdr:cNvPr>
        <xdr:cNvSpPr>
          <a:spLocks noChangeShapeType="1"/>
        </xdr:cNvSpPr>
      </xdr:nvSpPr>
      <xdr:spPr bwMode="auto">
        <a:xfrm flipH="1">
          <a:off x="8877300" y="1955800"/>
          <a:ext cx="14668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29713" name="Line 17">
          <a:extLst>
            <a:ext uri="{FF2B5EF4-FFF2-40B4-BE49-F238E27FC236}">
              <a16:creationId xmlns:a16="http://schemas.microsoft.com/office/drawing/2014/main" id="{994D85DD-493F-BD94-0F62-01EAB9DF5AB4}"/>
            </a:ext>
          </a:extLst>
        </xdr:cNvPr>
        <xdr:cNvSpPr>
          <a:spLocks noChangeShapeType="1"/>
        </xdr:cNvSpPr>
      </xdr:nvSpPr>
      <xdr:spPr bwMode="auto">
        <a:xfrm flipH="1">
          <a:off x="9296400" y="2184400"/>
          <a:ext cx="125730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29714" name="Line 18">
          <a:extLst>
            <a:ext uri="{FF2B5EF4-FFF2-40B4-BE49-F238E27FC236}">
              <a16:creationId xmlns:a16="http://schemas.microsoft.com/office/drawing/2014/main" id="{0F0F97A9-966C-DE7E-49ED-0BD3E490E086}"/>
            </a:ext>
          </a:extLst>
        </xdr:cNvPr>
        <xdr:cNvSpPr>
          <a:spLocks noChangeShapeType="1"/>
        </xdr:cNvSpPr>
      </xdr:nvSpPr>
      <xdr:spPr bwMode="auto">
        <a:xfrm flipH="1">
          <a:off x="9715500" y="2413000"/>
          <a:ext cx="1047750"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12700</xdr:rowOff>
    </xdr:from>
    <xdr:to>
      <xdr:col>54</xdr:col>
      <xdr:colOff>0</xdr:colOff>
      <xdr:row>46</xdr:row>
      <xdr:rowOff>0</xdr:rowOff>
    </xdr:to>
    <xdr:sp macro="" textlink="">
      <xdr:nvSpPr>
        <xdr:cNvPr id="29715" name="Line 19">
          <a:extLst>
            <a:ext uri="{FF2B5EF4-FFF2-40B4-BE49-F238E27FC236}">
              <a16:creationId xmlns:a16="http://schemas.microsoft.com/office/drawing/2014/main" id="{0A7BD3BE-6F60-EFDD-DB34-5C94ACBEBD54}"/>
            </a:ext>
          </a:extLst>
        </xdr:cNvPr>
        <xdr:cNvSpPr>
          <a:spLocks noChangeShapeType="1"/>
        </xdr:cNvSpPr>
      </xdr:nvSpPr>
      <xdr:spPr bwMode="auto">
        <a:xfrm>
          <a:off x="6991350" y="1968500"/>
          <a:ext cx="1466850" cy="1587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12700</xdr:colOff>
      <xdr:row>28</xdr:row>
      <xdr:rowOff>12700</xdr:rowOff>
    </xdr:from>
    <xdr:to>
      <xdr:col>48</xdr:col>
      <xdr:colOff>0</xdr:colOff>
      <xdr:row>46</xdr:row>
      <xdr:rowOff>0</xdr:rowOff>
    </xdr:to>
    <xdr:sp macro="" textlink="">
      <xdr:nvSpPr>
        <xdr:cNvPr id="29716" name="Line 20">
          <a:extLst>
            <a:ext uri="{FF2B5EF4-FFF2-40B4-BE49-F238E27FC236}">
              <a16:creationId xmlns:a16="http://schemas.microsoft.com/office/drawing/2014/main" id="{8EDE4EEA-9938-9B95-8F88-D072550BF73B}"/>
            </a:ext>
          </a:extLst>
        </xdr:cNvPr>
        <xdr:cNvSpPr>
          <a:spLocks noChangeShapeType="1"/>
        </xdr:cNvSpPr>
      </xdr:nvSpPr>
      <xdr:spPr bwMode="auto">
        <a:xfrm>
          <a:off x="6794500" y="2197100"/>
          <a:ext cx="1244600" cy="1358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12700</xdr:colOff>
      <xdr:row>31</xdr:row>
      <xdr:rowOff>12700</xdr:rowOff>
    </xdr:from>
    <xdr:to>
      <xdr:col>42</xdr:col>
      <xdr:colOff>0</xdr:colOff>
      <xdr:row>46</xdr:row>
      <xdr:rowOff>0</xdr:rowOff>
    </xdr:to>
    <xdr:sp macro="" textlink="">
      <xdr:nvSpPr>
        <xdr:cNvPr id="29717" name="Line 21">
          <a:extLst>
            <a:ext uri="{FF2B5EF4-FFF2-40B4-BE49-F238E27FC236}">
              <a16:creationId xmlns:a16="http://schemas.microsoft.com/office/drawing/2014/main" id="{8A80D2AB-60F2-D068-6E10-6E1B3F120E82}"/>
            </a:ext>
          </a:extLst>
        </xdr:cNvPr>
        <xdr:cNvSpPr>
          <a:spLocks noChangeShapeType="1"/>
        </xdr:cNvSpPr>
      </xdr:nvSpPr>
      <xdr:spPr bwMode="auto">
        <a:xfrm>
          <a:off x="6584950" y="2425700"/>
          <a:ext cx="1035050" cy="1130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12700</xdr:colOff>
      <xdr:row>34</xdr:row>
      <xdr:rowOff>12700</xdr:rowOff>
    </xdr:from>
    <xdr:to>
      <xdr:col>36</xdr:col>
      <xdr:colOff>0</xdr:colOff>
      <xdr:row>46</xdr:row>
      <xdr:rowOff>0</xdr:rowOff>
    </xdr:to>
    <xdr:sp macro="" textlink="">
      <xdr:nvSpPr>
        <xdr:cNvPr id="29718" name="Line 22">
          <a:extLst>
            <a:ext uri="{FF2B5EF4-FFF2-40B4-BE49-F238E27FC236}">
              <a16:creationId xmlns:a16="http://schemas.microsoft.com/office/drawing/2014/main" id="{D1DBF5F5-C6D1-8DB9-898E-F65628802322}"/>
            </a:ext>
          </a:extLst>
        </xdr:cNvPr>
        <xdr:cNvSpPr>
          <a:spLocks noChangeShapeType="1"/>
        </xdr:cNvSpPr>
      </xdr:nvSpPr>
      <xdr:spPr bwMode="auto">
        <a:xfrm>
          <a:off x="6375400" y="2654300"/>
          <a:ext cx="825500" cy="901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12700</xdr:rowOff>
    </xdr:from>
    <xdr:to>
      <xdr:col>30</xdr:col>
      <xdr:colOff>0</xdr:colOff>
      <xdr:row>46</xdr:row>
      <xdr:rowOff>0</xdr:rowOff>
    </xdr:to>
    <xdr:sp macro="" textlink="">
      <xdr:nvSpPr>
        <xdr:cNvPr id="29719" name="Line 23">
          <a:extLst>
            <a:ext uri="{FF2B5EF4-FFF2-40B4-BE49-F238E27FC236}">
              <a16:creationId xmlns:a16="http://schemas.microsoft.com/office/drawing/2014/main" id="{7A4CBB26-6FB2-9B02-B7FE-0689976A666B}"/>
            </a:ext>
          </a:extLst>
        </xdr:cNvPr>
        <xdr:cNvSpPr>
          <a:spLocks noChangeShapeType="1"/>
        </xdr:cNvSpPr>
      </xdr:nvSpPr>
      <xdr:spPr bwMode="auto">
        <a:xfrm>
          <a:off x="6153150" y="2882900"/>
          <a:ext cx="628650" cy="673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12700</xdr:rowOff>
    </xdr:from>
    <xdr:to>
      <xdr:col>24</xdr:col>
      <xdr:colOff>0</xdr:colOff>
      <xdr:row>46</xdr:row>
      <xdr:rowOff>0</xdr:rowOff>
    </xdr:to>
    <xdr:sp macro="" textlink="">
      <xdr:nvSpPr>
        <xdr:cNvPr id="29720" name="Line 24">
          <a:extLst>
            <a:ext uri="{FF2B5EF4-FFF2-40B4-BE49-F238E27FC236}">
              <a16:creationId xmlns:a16="http://schemas.microsoft.com/office/drawing/2014/main" id="{12CF3686-8E0B-6922-7ED0-9E8FC3FA01DE}"/>
            </a:ext>
          </a:extLst>
        </xdr:cNvPr>
        <xdr:cNvSpPr>
          <a:spLocks noChangeShapeType="1"/>
        </xdr:cNvSpPr>
      </xdr:nvSpPr>
      <xdr:spPr bwMode="auto">
        <a:xfrm>
          <a:off x="5943600" y="3111500"/>
          <a:ext cx="419100" cy="444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12700</xdr:rowOff>
    </xdr:from>
    <xdr:to>
      <xdr:col>18</xdr:col>
      <xdr:colOff>0</xdr:colOff>
      <xdr:row>46</xdr:row>
      <xdr:rowOff>0</xdr:rowOff>
    </xdr:to>
    <xdr:sp macro="" textlink="">
      <xdr:nvSpPr>
        <xdr:cNvPr id="29721" name="Line 25">
          <a:extLst>
            <a:ext uri="{FF2B5EF4-FFF2-40B4-BE49-F238E27FC236}">
              <a16:creationId xmlns:a16="http://schemas.microsoft.com/office/drawing/2014/main" id="{8A816081-D1CE-C87B-3B18-D4ECF5B51AB0}"/>
            </a:ext>
          </a:extLst>
        </xdr:cNvPr>
        <xdr:cNvSpPr>
          <a:spLocks noChangeShapeType="1"/>
        </xdr:cNvSpPr>
      </xdr:nvSpPr>
      <xdr:spPr bwMode="auto">
        <a:xfrm>
          <a:off x="5734050" y="3340100"/>
          <a:ext cx="209550" cy="215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29722" name="Line 26">
          <a:extLst>
            <a:ext uri="{FF2B5EF4-FFF2-40B4-BE49-F238E27FC236}">
              <a16:creationId xmlns:a16="http://schemas.microsoft.com/office/drawing/2014/main" id="{02AC41B5-ED38-7140-BBEA-65E2C13BC5A9}"/>
            </a:ext>
          </a:extLst>
        </xdr:cNvPr>
        <xdr:cNvSpPr>
          <a:spLocks noChangeShapeType="1"/>
        </xdr:cNvSpPr>
      </xdr:nvSpPr>
      <xdr:spPr bwMode="auto">
        <a:xfrm flipH="1">
          <a:off x="10134600" y="2641600"/>
          <a:ext cx="8382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29723" name="Line 27">
          <a:extLst>
            <a:ext uri="{FF2B5EF4-FFF2-40B4-BE49-F238E27FC236}">
              <a16:creationId xmlns:a16="http://schemas.microsoft.com/office/drawing/2014/main" id="{AC6A8820-B95E-BCB8-DF96-CE4FEEAD603B}"/>
            </a:ext>
          </a:extLst>
        </xdr:cNvPr>
        <xdr:cNvSpPr>
          <a:spLocks noChangeShapeType="1"/>
        </xdr:cNvSpPr>
      </xdr:nvSpPr>
      <xdr:spPr bwMode="auto">
        <a:xfrm flipH="1">
          <a:off x="10553700" y="2870200"/>
          <a:ext cx="628650"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29724" name="Line 28">
          <a:extLst>
            <a:ext uri="{FF2B5EF4-FFF2-40B4-BE49-F238E27FC236}">
              <a16:creationId xmlns:a16="http://schemas.microsoft.com/office/drawing/2014/main" id="{046E15B1-7894-1101-28FC-943B6C0E3E1A}"/>
            </a:ext>
          </a:extLst>
        </xdr:cNvPr>
        <xdr:cNvSpPr>
          <a:spLocks noChangeShapeType="1"/>
        </xdr:cNvSpPr>
      </xdr:nvSpPr>
      <xdr:spPr bwMode="auto">
        <a:xfrm flipH="1">
          <a:off x="10972800" y="3098800"/>
          <a:ext cx="41910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29725" name="Line 29">
          <a:extLst>
            <a:ext uri="{FF2B5EF4-FFF2-40B4-BE49-F238E27FC236}">
              <a16:creationId xmlns:a16="http://schemas.microsoft.com/office/drawing/2014/main" id="{4247E5BF-4663-D374-D2D8-731E074B448C}"/>
            </a:ext>
          </a:extLst>
        </xdr:cNvPr>
        <xdr:cNvSpPr>
          <a:spLocks noChangeShapeType="1"/>
        </xdr:cNvSpPr>
      </xdr:nvSpPr>
      <xdr:spPr bwMode="auto">
        <a:xfrm flipH="1">
          <a:off x="11391900" y="3327400"/>
          <a:ext cx="20955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12700</xdr:colOff>
      <xdr:row>1</xdr:row>
      <xdr:rowOff>12700</xdr:rowOff>
    </xdr:from>
    <xdr:to>
      <xdr:col>102</xdr:col>
      <xdr:colOff>0</xdr:colOff>
      <xdr:row>46</xdr:row>
      <xdr:rowOff>0</xdr:rowOff>
    </xdr:to>
    <xdr:sp macro="" textlink="">
      <xdr:nvSpPr>
        <xdr:cNvPr id="29726" name="Line 30">
          <a:extLst>
            <a:ext uri="{FF2B5EF4-FFF2-40B4-BE49-F238E27FC236}">
              <a16:creationId xmlns:a16="http://schemas.microsoft.com/office/drawing/2014/main" id="{C7BE57EF-97B9-764A-8428-4A4A9C379D57}"/>
            </a:ext>
          </a:extLst>
        </xdr:cNvPr>
        <xdr:cNvSpPr>
          <a:spLocks noChangeShapeType="1"/>
        </xdr:cNvSpPr>
      </xdr:nvSpPr>
      <xdr:spPr bwMode="auto">
        <a:xfrm>
          <a:off x="868045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12700</xdr:colOff>
      <xdr:row>1</xdr:row>
      <xdr:rowOff>12700</xdr:rowOff>
    </xdr:from>
    <xdr:to>
      <xdr:col>57</xdr:col>
      <xdr:colOff>0</xdr:colOff>
      <xdr:row>46</xdr:row>
      <xdr:rowOff>0</xdr:rowOff>
    </xdr:to>
    <xdr:sp macro="" textlink="">
      <xdr:nvSpPr>
        <xdr:cNvPr id="30721" name="Line 1">
          <a:extLst>
            <a:ext uri="{FF2B5EF4-FFF2-40B4-BE49-F238E27FC236}">
              <a16:creationId xmlns:a16="http://schemas.microsoft.com/office/drawing/2014/main" id="{E80AA9D7-C819-7EBB-EF47-A2D8BF7F8663}"/>
            </a:ext>
          </a:extLst>
        </xdr:cNvPr>
        <xdr:cNvSpPr>
          <a:spLocks noChangeShapeType="1"/>
        </xdr:cNvSpPr>
      </xdr:nvSpPr>
      <xdr:spPr bwMode="auto">
        <a:xfrm flipV="1">
          <a:off x="553720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xdr:row>
      <xdr:rowOff>0</xdr:rowOff>
    </xdr:from>
    <xdr:to>
      <xdr:col>60</xdr:col>
      <xdr:colOff>0</xdr:colOff>
      <xdr:row>46</xdr:row>
      <xdr:rowOff>0</xdr:rowOff>
    </xdr:to>
    <xdr:sp macro="" textlink="">
      <xdr:nvSpPr>
        <xdr:cNvPr id="30722" name="Line 2">
          <a:extLst>
            <a:ext uri="{FF2B5EF4-FFF2-40B4-BE49-F238E27FC236}">
              <a16:creationId xmlns:a16="http://schemas.microsoft.com/office/drawing/2014/main" id="{60CBF7FE-BDDD-9BED-D06C-6CD1122C1BF5}"/>
            </a:ext>
          </a:extLst>
        </xdr:cNvPr>
        <xdr:cNvSpPr>
          <a:spLocks noChangeShapeType="1"/>
        </xdr:cNvSpPr>
      </xdr:nvSpPr>
      <xdr:spPr bwMode="auto">
        <a:xfrm flipV="1">
          <a:off x="5943600" y="355600"/>
          <a:ext cx="2933700" cy="3200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0</xdr:colOff>
      <xdr:row>7</xdr:row>
      <xdr:rowOff>0</xdr:rowOff>
    </xdr:from>
    <xdr:to>
      <xdr:col>63</xdr:col>
      <xdr:colOff>0</xdr:colOff>
      <xdr:row>46</xdr:row>
      <xdr:rowOff>0</xdr:rowOff>
    </xdr:to>
    <xdr:sp macro="" textlink="">
      <xdr:nvSpPr>
        <xdr:cNvPr id="30723" name="Line 3">
          <a:extLst>
            <a:ext uri="{FF2B5EF4-FFF2-40B4-BE49-F238E27FC236}">
              <a16:creationId xmlns:a16="http://schemas.microsoft.com/office/drawing/2014/main" id="{20DB699D-8972-DAE2-62FF-8CF598D9009D}"/>
            </a:ext>
          </a:extLst>
        </xdr:cNvPr>
        <xdr:cNvSpPr>
          <a:spLocks noChangeShapeType="1"/>
        </xdr:cNvSpPr>
      </xdr:nvSpPr>
      <xdr:spPr bwMode="auto">
        <a:xfrm flipV="1">
          <a:off x="6362700" y="584200"/>
          <a:ext cx="27241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12700</xdr:colOff>
      <xdr:row>4</xdr:row>
      <xdr:rowOff>12700</xdr:rowOff>
    </xdr:from>
    <xdr:to>
      <xdr:col>96</xdr:col>
      <xdr:colOff>0</xdr:colOff>
      <xdr:row>46</xdr:row>
      <xdr:rowOff>0</xdr:rowOff>
    </xdr:to>
    <xdr:sp macro="" textlink="">
      <xdr:nvSpPr>
        <xdr:cNvPr id="30724" name="Line 4">
          <a:extLst>
            <a:ext uri="{FF2B5EF4-FFF2-40B4-BE49-F238E27FC236}">
              <a16:creationId xmlns:a16="http://schemas.microsoft.com/office/drawing/2014/main" id="{FC936D11-DFC7-2147-BE88-D62A60670BC8}"/>
            </a:ext>
          </a:extLst>
        </xdr:cNvPr>
        <xdr:cNvSpPr>
          <a:spLocks noChangeShapeType="1"/>
        </xdr:cNvSpPr>
      </xdr:nvSpPr>
      <xdr:spPr bwMode="auto">
        <a:xfrm>
          <a:off x="8470900" y="368300"/>
          <a:ext cx="2921000" cy="3187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51</xdr:col>
      <xdr:colOff>12700</xdr:colOff>
      <xdr:row>7</xdr:row>
      <xdr:rowOff>0</xdr:rowOff>
    </xdr:from>
    <xdr:to>
      <xdr:col>90</xdr:col>
      <xdr:colOff>0</xdr:colOff>
      <xdr:row>46</xdr:row>
      <xdr:rowOff>0</xdr:rowOff>
    </xdr:to>
    <xdr:sp macro="" textlink="">
      <xdr:nvSpPr>
        <xdr:cNvPr id="30725" name="Line 5">
          <a:extLst>
            <a:ext uri="{FF2B5EF4-FFF2-40B4-BE49-F238E27FC236}">
              <a16:creationId xmlns:a16="http://schemas.microsoft.com/office/drawing/2014/main" id="{C8649D36-CD5D-514D-0C56-698E82057404}"/>
            </a:ext>
          </a:extLst>
        </xdr:cNvPr>
        <xdr:cNvSpPr>
          <a:spLocks noChangeShapeType="1"/>
        </xdr:cNvSpPr>
      </xdr:nvSpPr>
      <xdr:spPr bwMode="auto">
        <a:xfrm>
          <a:off x="8261350" y="584200"/>
          <a:ext cx="2711450" cy="2971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12700</xdr:colOff>
      <xdr:row>10</xdr:row>
      <xdr:rowOff>0</xdr:rowOff>
    </xdr:from>
    <xdr:to>
      <xdr:col>84</xdr:col>
      <xdr:colOff>0</xdr:colOff>
      <xdr:row>46</xdr:row>
      <xdr:rowOff>0</xdr:rowOff>
    </xdr:to>
    <xdr:sp macro="" textlink="">
      <xdr:nvSpPr>
        <xdr:cNvPr id="30726" name="Line 6">
          <a:extLst>
            <a:ext uri="{FF2B5EF4-FFF2-40B4-BE49-F238E27FC236}">
              <a16:creationId xmlns:a16="http://schemas.microsoft.com/office/drawing/2014/main" id="{55039841-F3B8-8A23-1E4E-D43944577EFC}"/>
            </a:ext>
          </a:extLst>
        </xdr:cNvPr>
        <xdr:cNvSpPr>
          <a:spLocks noChangeShapeType="1"/>
        </xdr:cNvSpPr>
      </xdr:nvSpPr>
      <xdr:spPr bwMode="auto">
        <a:xfrm>
          <a:off x="8051800" y="812800"/>
          <a:ext cx="25019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0</xdr:colOff>
      <xdr:row>10</xdr:row>
      <xdr:rowOff>0</xdr:rowOff>
    </xdr:from>
    <xdr:to>
      <xdr:col>66</xdr:col>
      <xdr:colOff>0</xdr:colOff>
      <xdr:row>46</xdr:row>
      <xdr:rowOff>0</xdr:rowOff>
    </xdr:to>
    <xdr:sp macro="" textlink="">
      <xdr:nvSpPr>
        <xdr:cNvPr id="30727" name="Line 7">
          <a:extLst>
            <a:ext uri="{FF2B5EF4-FFF2-40B4-BE49-F238E27FC236}">
              <a16:creationId xmlns:a16="http://schemas.microsoft.com/office/drawing/2014/main" id="{70CA6DD0-33D7-DB4D-C082-55F226C00F1D}"/>
            </a:ext>
          </a:extLst>
        </xdr:cNvPr>
        <xdr:cNvSpPr>
          <a:spLocks noChangeShapeType="1"/>
        </xdr:cNvSpPr>
      </xdr:nvSpPr>
      <xdr:spPr bwMode="auto">
        <a:xfrm flipH="1">
          <a:off x="6781800" y="812800"/>
          <a:ext cx="2514600" cy="2743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0</xdr:colOff>
      <xdr:row>13</xdr:row>
      <xdr:rowOff>12700</xdr:rowOff>
    </xdr:from>
    <xdr:to>
      <xdr:col>69</xdr:col>
      <xdr:colOff>0</xdr:colOff>
      <xdr:row>46</xdr:row>
      <xdr:rowOff>0</xdr:rowOff>
    </xdr:to>
    <xdr:sp macro="" textlink="">
      <xdr:nvSpPr>
        <xdr:cNvPr id="30728" name="Line 8">
          <a:extLst>
            <a:ext uri="{FF2B5EF4-FFF2-40B4-BE49-F238E27FC236}">
              <a16:creationId xmlns:a16="http://schemas.microsoft.com/office/drawing/2014/main" id="{69548D76-3706-282D-9639-F164442A5ECD}"/>
            </a:ext>
          </a:extLst>
        </xdr:cNvPr>
        <xdr:cNvSpPr>
          <a:spLocks noChangeShapeType="1"/>
        </xdr:cNvSpPr>
      </xdr:nvSpPr>
      <xdr:spPr bwMode="auto">
        <a:xfrm flipH="1">
          <a:off x="720090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0</xdr:colOff>
      <xdr:row>16</xdr:row>
      <xdr:rowOff>0</xdr:rowOff>
    </xdr:from>
    <xdr:to>
      <xdr:col>72</xdr:col>
      <xdr:colOff>0</xdr:colOff>
      <xdr:row>46</xdr:row>
      <xdr:rowOff>0</xdr:rowOff>
    </xdr:to>
    <xdr:sp macro="" textlink="">
      <xdr:nvSpPr>
        <xdr:cNvPr id="30729" name="Line 9">
          <a:extLst>
            <a:ext uri="{FF2B5EF4-FFF2-40B4-BE49-F238E27FC236}">
              <a16:creationId xmlns:a16="http://schemas.microsoft.com/office/drawing/2014/main" id="{439CC09B-E79A-4920-CFBF-350694E1B38A}"/>
            </a:ext>
          </a:extLst>
        </xdr:cNvPr>
        <xdr:cNvSpPr>
          <a:spLocks noChangeShapeType="1"/>
        </xdr:cNvSpPr>
      </xdr:nvSpPr>
      <xdr:spPr bwMode="auto">
        <a:xfrm flipH="1">
          <a:off x="7620000" y="1270000"/>
          <a:ext cx="2095500" cy="2286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48</xdr:col>
      <xdr:colOff>0</xdr:colOff>
      <xdr:row>19</xdr:row>
      <xdr:rowOff>0</xdr:rowOff>
    </xdr:from>
    <xdr:to>
      <xdr:col>75</xdr:col>
      <xdr:colOff>0</xdr:colOff>
      <xdr:row>46</xdr:row>
      <xdr:rowOff>0</xdr:rowOff>
    </xdr:to>
    <xdr:sp macro="" textlink="">
      <xdr:nvSpPr>
        <xdr:cNvPr id="30730" name="Line 10">
          <a:extLst>
            <a:ext uri="{FF2B5EF4-FFF2-40B4-BE49-F238E27FC236}">
              <a16:creationId xmlns:a16="http://schemas.microsoft.com/office/drawing/2014/main" id="{2E0D5D6F-C5DF-498C-6970-BC865A512A1E}"/>
            </a:ext>
          </a:extLst>
        </xdr:cNvPr>
        <xdr:cNvSpPr>
          <a:spLocks noChangeShapeType="1"/>
        </xdr:cNvSpPr>
      </xdr:nvSpPr>
      <xdr:spPr bwMode="auto">
        <a:xfrm flipH="1">
          <a:off x="8039100" y="1498600"/>
          <a:ext cx="1885950" cy="2057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45</xdr:col>
      <xdr:colOff>0</xdr:colOff>
      <xdr:row>13</xdr:row>
      <xdr:rowOff>12700</xdr:rowOff>
    </xdr:from>
    <xdr:to>
      <xdr:col>78</xdr:col>
      <xdr:colOff>0</xdr:colOff>
      <xdr:row>46</xdr:row>
      <xdr:rowOff>0</xdr:rowOff>
    </xdr:to>
    <xdr:sp macro="" textlink="">
      <xdr:nvSpPr>
        <xdr:cNvPr id="30731" name="Line 11">
          <a:extLst>
            <a:ext uri="{FF2B5EF4-FFF2-40B4-BE49-F238E27FC236}">
              <a16:creationId xmlns:a16="http://schemas.microsoft.com/office/drawing/2014/main" id="{C6343C72-C114-2FF9-94C1-13217C7ED7F3}"/>
            </a:ext>
          </a:extLst>
        </xdr:cNvPr>
        <xdr:cNvSpPr>
          <a:spLocks noChangeShapeType="1"/>
        </xdr:cNvSpPr>
      </xdr:nvSpPr>
      <xdr:spPr bwMode="auto">
        <a:xfrm>
          <a:off x="7829550" y="1054100"/>
          <a:ext cx="2305050" cy="2501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42</xdr:col>
      <xdr:colOff>12700</xdr:colOff>
      <xdr:row>16</xdr:row>
      <xdr:rowOff>12700</xdr:rowOff>
    </xdr:from>
    <xdr:to>
      <xdr:col>72</xdr:col>
      <xdr:colOff>0</xdr:colOff>
      <xdr:row>46</xdr:row>
      <xdr:rowOff>0</xdr:rowOff>
    </xdr:to>
    <xdr:sp macro="" textlink="">
      <xdr:nvSpPr>
        <xdr:cNvPr id="30732" name="Line 12">
          <a:extLst>
            <a:ext uri="{FF2B5EF4-FFF2-40B4-BE49-F238E27FC236}">
              <a16:creationId xmlns:a16="http://schemas.microsoft.com/office/drawing/2014/main" id="{47A975DF-B3FE-A3EC-1912-1C050D8FAE53}"/>
            </a:ext>
          </a:extLst>
        </xdr:cNvPr>
        <xdr:cNvSpPr>
          <a:spLocks noChangeShapeType="1"/>
        </xdr:cNvSpPr>
      </xdr:nvSpPr>
      <xdr:spPr bwMode="auto">
        <a:xfrm>
          <a:off x="7632700" y="1282700"/>
          <a:ext cx="2082800" cy="2273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39</xdr:col>
      <xdr:colOff>12700</xdr:colOff>
      <xdr:row>19</xdr:row>
      <xdr:rowOff>12700</xdr:rowOff>
    </xdr:from>
    <xdr:to>
      <xdr:col>66</xdr:col>
      <xdr:colOff>0</xdr:colOff>
      <xdr:row>46</xdr:row>
      <xdr:rowOff>0</xdr:rowOff>
    </xdr:to>
    <xdr:sp macro="" textlink="">
      <xdr:nvSpPr>
        <xdr:cNvPr id="30733" name="Line 13">
          <a:extLst>
            <a:ext uri="{FF2B5EF4-FFF2-40B4-BE49-F238E27FC236}">
              <a16:creationId xmlns:a16="http://schemas.microsoft.com/office/drawing/2014/main" id="{87457D61-C5C3-1AD4-23A0-9105097DB4C4}"/>
            </a:ext>
          </a:extLst>
        </xdr:cNvPr>
        <xdr:cNvSpPr>
          <a:spLocks noChangeShapeType="1"/>
        </xdr:cNvSpPr>
      </xdr:nvSpPr>
      <xdr:spPr bwMode="auto">
        <a:xfrm>
          <a:off x="7423150" y="1511300"/>
          <a:ext cx="1873250" cy="2044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54</xdr:col>
      <xdr:colOff>0</xdr:colOff>
      <xdr:row>22</xdr:row>
      <xdr:rowOff>12700</xdr:rowOff>
    </xdr:from>
    <xdr:to>
      <xdr:col>78</xdr:col>
      <xdr:colOff>0</xdr:colOff>
      <xdr:row>46</xdr:row>
      <xdr:rowOff>0</xdr:rowOff>
    </xdr:to>
    <xdr:sp macro="" textlink="">
      <xdr:nvSpPr>
        <xdr:cNvPr id="30734" name="Line 14">
          <a:extLst>
            <a:ext uri="{FF2B5EF4-FFF2-40B4-BE49-F238E27FC236}">
              <a16:creationId xmlns:a16="http://schemas.microsoft.com/office/drawing/2014/main" id="{88C50B1B-16F8-E3FA-DAC0-C59082D86965}"/>
            </a:ext>
          </a:extLst>
        </xdr:cNvPr>
        <xdr:cNvSpPr>
          <a:spLocks noChangeShapeType="1"/>
        </xdr:cNvSpPr>
      </xdr:nvSpPr>
      <xdr:spPr bwMode="auto">
        <a:xfrm flipH="1">
          <a:off x="8458200" y="1739900"/>
          <a:ext cx="16764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36</xdr:col>
      <xdr:colOff>12700</xdr:colOff>
      <xdr:row>22</xdr:row>
      <xdr:rowOff>12700</xdr:rowOff>
    </xdr:from>
    <xdr:to>
      <xdr:col>60</xdr:col>
      <xdr:colOff>0</xdr:colOff>
      <xdr:row>46</xdr:row>
      <xdr:rowOff>0</xdr:rowOff>
    </xdr:to>
    <xdr:sp macro="" textlink="">
      <xdr:nvSpPr>
        <xdr:cNvPr id="30735" name="Line 15">
          <a:extLst>
            <a:ext uri="{FF2B5EF4-FFF2-40B4-BE49-F238E27FC236}">
              <a16:creationId xmlns:a16="http://schemas.microsoft.com/office/drawing/2014/main" id="{66AF435A-BFC8-5676-0387-8F1560EACED9}"/>
            </a:ext>
          </a:extLst>
        </xdr:cNvPr>
        <xdr:cNvSpPr>
          <a:spLocks noChangeShapeType="1"/>
        </xdr:cNvSpPr>
      </xdr:nvSpPr>
      <xdr:spPr bwMode="auto">
        <a:xfrm>
          <a:off x="7213600" y="1739900"/>
          <a:ext cx="1663700" cy="1816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60</xdr:col>
      <xdr:colOff>0</xdr:colOff>
      <xdr:row>25</xdr:row>
      <xdr:rowOff>0</xdr:rowOff>
    </xdr:from>
    <xdr:to>
      <xdr:col>81</xdr:col>
      <xdr:colOff>0</xdr:colOff>
      <xdr:row>46</xdr:row>
      <xdr:rowOff>0</xdr:rowOff>
    </xdr:to>
    <xdr:sp macro="" textlink="">
      <xdr:nvSpPr>
        <xdr:cNvPr id="30736" name="Line 16">
          <a:extLst>
            <a:ext uri="{FF2B5EF4-FFF2-40B4-BE49-F238E27FC236}">
              <a16:creationId xmlns:a16="http://schemas.microsoft.com/office/drawing/2014/main" id="{13324862-1AD6-8B07-490C-040C12D46F0E}"/>
            </a:ext>
          </a:extLst>
        </xdr:cNvPr>
        <xdr:cNvSpPr>
          <a:spLocks noChangeShapeType="1"/>
        </xdr:cNvSpPr>
      </xdr:nvSpPr>
      <xdr:spPr bwMode="auto">
        <a:xfrm flipH="1">
          <a:off x="8877300" y="1955800"/>
          <a:ext cx="1466850" cy="1600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66</xdr:col>
      <xdr:colOff>0</xdr:colOff>
      <xdr:row>28</xdr:row>
      <xdr:rowOff>0</xdr:rowOff>
    </xdr:from>
    <xdr:to>
      <xdr:col>84</xdr:col>
      <xdr:colOff>0</xdr:colOff>
      <xdr:row>46</xdr:row>
      <xdr:rowOff>0</xdr:rowOff>
    </xdr:to>
    <xdr:sp macro="" textlink="">
      <xdr:nvSpPr>
        <xdr:cNvPr id="30737" name="Line 17">
          <a:extLst>
            <a:ext uri="{FF2B5EF4-FFF2-40B4-BE49-F238E27FC236}">
              <a16:creationId xmlns:a16="http://schemas.microsoft.com/office/drawing/2014/main" id="{E4EA5CBC-B7F1-C94E-CC8C-1D6904A705CD}"/>
            </a:ext>
          </a:extLst>
        </xdr:cNvPr>
        <xdr:cNvSpPr>
          <a:spLocks noChangeShapeType="1"/>
        </xdr:cNvSpPr>
      </xdr:nvSpPr>
      <xdr:spPr bwMode="auto">
        <a:xfrm flipH="1">
          <a:off x="9296400" y="2184400"/>
          <a:ext cx="1257300" cy="1371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72</xdr:col>
      <xdr:colOff>0</xdr:colOff>
      <xdr:row>31</xdr:row>
      <xdr:rowOff>0</xdr:rowOff>
    </xdr:from>
    <xdr:to>
      <xdr:col>87</xdr:col>
      <xdr:colOff>0</xdr:colOff>
      <xdr:row>46</xdr:row>
      <xdr:rowOff>0</xdr:rowOff>
    </xdr:to>
    <xdr:sp macro="" textlink="">
      <xdr:nvSpPr>
        <xdr:cNvPr id="30738" name="Line 18">
          <a:extLst>
            <a:ext uri="{FF2B5EF4-FFF2-40B4-BE49-F238E27FC236}">
              <a16:creationId xmlns:a16="http://schemas.microsoft.com/office/drawing/2014/main" id="{B6D587D8-8D2E-D1DD-5199-238DFD918AFB}"/>
            </a:ext>
          </a:extLst>
        </xdr:cNvPr>
        <xdr:cNvSpPr>
          <a:spLocks noChangeShapeType="1"/>
        </xdr:cNvSpPr>
      </xdr:nvSpPr>
      <xdr:spPr bwMode="auto">
        <a:xfrm flipH="1">
          <a:off x="9715500" y="2413000"/>
          <a:ext cx="1047750" cy="11430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33</xdr:col>
      <xdr:colOff>0</xdr:colOff>
      <xdr:row>25</xdr:row>
      <xdr:rowOff>12700</xdr:rowOff>
    </xdr:from>
    <xdr:to>
      <xdr:col>54</xdr:col>
      <xdr:colOff>0</xdr:colOff>
      <xdr:row>46</xdr:row>
      <xdr:rowOff>0</xdr:rowOff>
    </xdr:to>
    <xdr:sp macro="" textlink="">
      <xdr:nvSpPr>
        <xdr:cNvPr id="30739" name="Line 19">
          <a:extLst>
            <a:ext uri="{FF2B5EF4-FFF2-40B4-BE49-F238E27FC236}">
              <a16:creationId xmlns:a16="http://schemas.microsoft.com/office/drawing/2014/main" id="{3CE003DD-DB88-DE98-68E9-820E62D8979F}"/>
            </a:ext>
          </a:extLst>
        </xdr:cNvPr>
        <xdr:cNvSpPr>
          <a:spLocks noChangeShapeType="1"/>
        </xdr:cNvSpPr>
      </xdr:nvSpPr>
      <xdr:spPr bwMode="auto">
        <a:xfrm>
          <a:off x="6991350" y="1968500"/>
          <a:ext cx="1466850" cy="1587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30</xdr:col>
      <xdr:colOff>12700</xdr:colOff>
      <xdr:row>28</xdr:row>
      <xdr:rowOff>12700</xdr:rowOff>
    </xdr:from>
    <xdr:to>
      <xdr:col>48</xdr:col>
      <xdr:colOff>0</xdr:colOff>
      <xdr:row>46</xdr:row>
      <xdr:rowOff>0</xdr:rowOff>
    </xdr:to>
    <xdr:sp macro="" textlink="">
      <xdr:nvSpPr>
        <xdr:cNvPr id="30740" name="Line 20">
          <a:extLst>
            <a:ext uri="{FF2B5EF4-FFF2-40B4-BE49-F238E27FC236}">
              <a16:creationId xmlns:a16="http://schemas.microsoft.com/office/drawing/2014/main" id="{695AD59B-C05F-38BE-1950-6B5613178DF2}"/>
            </a:ext>
          </a:extLst>
        </xdr:cNvPr>
        <xdr:cNvSpPr>
          <a:spLocks noChangeShapeType="1"/>
        </xdr:cNvSpPr>
      </xdr:nvSpPr>
      <xdr:spPr bwMode="auto">
        <a:xfrm>
          <a:off x="6794500" y="2197100"/>
          <a:ext cx="1244600" cy="1358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27</xdr:col>
      <xdr:colOff>12700</xdr:colOff>
      <xdr:row>31</xdr:row>
      <xdr:rowOff>12700</xdr:rowOff>
    </xdr:from>
    <xdr:to>
      <xdr:col>42</xdr:col>
      <xdr:colOff>0</xdr:colOff>
      <xdr:row>46</xdr:row>
      <xdr:rowOff>0</xdr:rowOff>
    </xdr:to>
    <xdr:sp macro="" textlink="">
      <xdr:nvSpPr>
        <xdr:cNvPr id="30741" name="Line 21">
          <a:extLst>
            <a:ext uri="{FF2B5EF4-FFF2-40B4-BE49-F238E27FC236}">
              <a16:creationId xmlns:a16="http://schemas.microsoft.com/office/drawing/2014/main" id="{F2DEA708-A747-20FA-44E5-178AE0ADE507}"/>
            </a:ext>
          </a:extLst>
        </xdr:cNvPr>
        <xdr:cNvSpPr>
          <a:spLocks noChangeShapeType="1"/>
        </xdr:cNvSpPr>
      </xdr:nvSpPr>
      <xdr:spPr bwMode="auto">
        <a:xfrm>
          <a:off x="6584950" y="2425700"/>
          <a:ext cx="1035050" cy="1130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24</xdr:col>
      <xdr:colOff>12700</xdr:colOff>
      <xdr:row>34</xdr:row>
      <xdr:rowOff>12700</xdr:rowOff>
    </xdr:from>
    <xdr:to>
      <xdr:col>36</xdr:col>
      <xdr:colOff>0</xdr:colOff>
      <xdr:row>46</xdr:row>
      <xdr:rowOff>0</xdr:rowOff>
    </xdr:to>
    <xdr:sp macro="" textlink="">
      <xdr:nvSpPr>
        <xdr:cNvPr id="30742" name="Line 22">
          <a:extLst>
            <a:ext uri="{FF2B5EF4-FFF2-40B4-BE49-F238E27FC236}">
              <a16:creationId xmlns:a16="http://schemas.microsoft.com/office/drawing/2014/main" id="{85D49829-15AA-2A43-098E-57CB3FD5F2E7}"/>
            </a:ext>
          </a:extLst>
        </xdr:cNvPr>
        <xdr:cNvSpPr>
          <a:spLocks noChangeShapeType="1"/>
        </xdr:cNvSpPr>
      </xdr:nvSpPr>
      <xdr:spPr bwMode="auto">
        <a:xfrm>
          <a:off x="6375400" y="2654300"/>
          <a:ext cx="825500" cy="9017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21</xdr:col>
      <xdr:colOff>0</xdr:colOff>
      <xdr:row>37</xdr:row>
      <xdr:rowOff>12700</xdr:rowOff>
    </xdr:from>
    <xdr:to>
      <xdr:col>30</xdr:col>
      <xdr:colOff>0</xdr:colOff>
      <xdr:row>46</xdr:row>
      <xdr:rowOff>0</xdr:rowOff>
    </xdr:to>
    <xdr:sp macro="" textlink="">
      <xdr:nvSpPr>
        <xdr:cNvPr id="30743" name="Line 23">
          <a:extLst>
            <a:ext uri="{FF2B5EF4-FFF2-40B4-BE49-F238E27FC236}">
              <a16:creationId xmlns:a16="http://schemas.microsoft.com/office/drawing/2014/main" id="{6B70715E-0139-43F0-2199-59458E7057BC}"/>
            </a:ext>
          </a:extLst>
        </xdr:cNvPr>
        <xdr:cNvSpPr>
          <a:spLocks noChangeShapeType="1"/>
        </xdr:cNvSpPr>
      </xdr:nvSpPr>
      <xdr:spPr bwMode="auto">
        <a:xfrm>
          <a:off x="6153150" y="2882900"/>
          <a:ext cx="628650" cy="6731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0</xdr:colOff>
      <xdr:row>40</xdr:row>
      <xdr:rowOff>12700</xdr:rowOff>
    </xdr:from>
    <xdr:to>
      <xdr:col>24</xdr:col>
      <xdr:colOff>0</xdr:colOff>
      <xdr:row>46</xdr:row>
      <xdr:rowOff>0</xdr:rowOff>
    </xdr:to>
    <xdr:sp macro="" textlink="">
      <xdr:nvSpPr>
        <xdr:cNvPr id="30744" name="Line 24">
          <a:extLst>
            <a:ext uri="{FF2B5EF4-FFF2-40B4-BE49-F238E27FC236}">
              <a16:creationId xmlns:a16="http://schemas.microsoft.com/office/drawing/2014/main" id="{E1089CCF-41BF-9929-DA99-1AAE62A79152}"/>
            </a:ext>
          </a:extLst>
        </xdr:cNvPr>
        <xdr:cNvSpPr>
          <a:spLocks noChangeShapeType="1"/>
        </xdr:cNvSpPr>
      </xdr:nvSpPr>
      <xdr:spPr bwMode="auto">
        <a:xfrm>
          <a:off x="5943600" y="3111500"/>
          <a:ext cx="419100" cy="4445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15</xdr:col>
      <xdr:colOff>0</xdr:colOff>
      <xdr:row>43</xdr:row>
      <xdr:rowOff>12700</xdr:rowOff>
    </xdr:from>
    <xdr:to>
      <xdr:col>18</xdr:col>
      <xdr:colOff>0</xdr:colOff>
      <xdr:row>46</xdr:row>
      <xdr:rowOff>0</xdr:rowOff>
    </xdr:to>
    <xdr:sp macro="" textlink="">
      <xdr:nvSpPr>
        <xdr:cNvPr id="30745" name="Line 25">
          <a:extLst>
            <a:ext uri="{FF2B5EF4-FFF2-40B4-BE49-F238E27FC236}">
              <a16:creationId xmlns:a16="http://schemas.microsoft.com/office/drawing/2014/main" id="{28C14996-944A-D80E-55B7-D3A1ACC5D3CF}"/>
            </a:ext>
          </a:extLst>
        </xdr:cNvPr>
        <xdr:cNvSpPr>
          <a:spLocks noChangeShapeType="1"/>
        </xdr:cNvSpPr>
      </xdr:nvSpPr>
      <xdr:spPr bwMode="auto">
        <a:xfrm>
          <a:off x="5734050" y="3340100"/>
          <a:ext cx="209550" cy="2159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78</xdr:col>
      <xdr:colOff>0</xdr:colOff>
      <xdr:row>34</xdr:row>
      <xdr:rowOff>0</xdr:rowOff>
    </xdr:from>
    <xdr:to>
      <xdr:col>90</xdr:col>
      <xdr:colOff>0</xdr:colOff>
      <xdr:row>46</xdr:row>
      <xdr:rowOff>0</xdr:rowOff>
    </xdr:to>
    <xdr:sp macro="" textlink="">
      <xdr:nvSpPr>
        <xdr:cNvPr id="30746" name="Line 26">
          <a:extLst>
            <a:ext uri="{FF2B5EF4-FFF2-40B4-BE49-F238E27FC236}">
              <a16:creationId xmlns:a16="http://schemas.microsoft.com/office/drawing/2014/main" id="{24039F8B-1246-8CDB-3B63-7EEF92182739}"/>
            </a:ext>
          </a:extLst>
        </xdr:cNvPr>
        <xdr:cNvSpPr>
          <a:spLocks noChangeShapeType="1"/>
        </xdr:cNvSpPr>
      </xdr:nvSpPr>
      <xdr:spPr bwMode="auto">
        <a:xfrm flipH="1">
          <a:off x="10134600" y="2641600"/>
          <a:ext cx="838200" cy="9144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84</xdr:col>
      <xdr:colOff>0</xdr:colOff>
      <xdr:row>37</xdr:row>
      <xdr:rowOff>0</xdr:rowOff>
    </xdr:from>
    <xdr:to>
      <xdr:col>93</xdr:col>
      <xdr:colOff>0</xdr:colOff>
      <xdr:row>46</xdr:row>
      <xdr:rowOff>0</xdr:rowOff>
    </xdr:to>
    <xdr:sp macro="" textlink="">
      <xdr:nvSpPr>
        <xdr:cNvPr id="30747" name="Line 27">
          <a:extLst>
            <a:ext uri="{FF2B5EF4-FFF2-40B4-BE49-F238E27FC236}">
              <a16:creationId xmlns:a16="http://schemas.microsoft.com/office/drawing/2014/main" id="{9FED4056-D9E9-9893-FDF6-D768D240EC5B}"/>
            </a:ext>
          </a:extLst>
        </xdr:cNvPr>
        <xdr:cNvSpPr>
          <a:spLocks noChangeShapeType="1"/>
        </xdr:cNvSpPr>
      </xdr:nvSpPr>
      <xdr:spPr bwMode="auto">
        <a:xfrm flipH="1">
          <a:off x="10553700" y="2870200"/>
          <a:ext cx="628650" cy="6858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90</xdr:col>
      <xdr:colOff>0</xdr:colOff>
      <xdr:row>40</xdr:row>
      <xdr:rowOff>0</xdr:rowOff>
    </xdr:from>
    <xdr:to>
      <xdr:col>96</xdr:col>
      <xdr:colOff>0</xdr:colOff>
      <xdr:row>46</xdr:row>
      <xdr:rowOff>0</xdr:rowOff>
    </xdr:to>
    <xdr:sp macro="" textlink="">
      <xdr:nvSpPr>
        <xdr:cNvPr id="30748" name="Line 28">
          <a:extLst>
            <a:ext uri="{FF2B5EF4-FFF2-40B4-BE49-F238E27FC236}">
              <a16:creationId xmlns:a16="http://schemas.microsoft.com/office/drawing/2014/main" id="{6FB66AB7-39EB-0712-154C-B68969101DA1}"/>
            </a:ext>
          </a:extLst>
        </xdr:cNvPr>
        <xdr:cNvSpPr>
          <a:spLocks noChangeShapeType="1"/>
        </xdr:cNvSpPr>
      </xdr:nvSpPr>
      <xdr:spPr bwMode="auto">
        <a:xfrm flipH="1">
          <a:off x="10972800" y="3098800"/>
          <a:ext cx="419100" cy="4572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96</xdr:col>
      <xdr:colOff>0</xdr:colOff>
      <xdr:row>43</xdr:row>
      <xdr:rowOff>0</xdr:rowOff>
    </xdr:from>
    <xdr:to>
      <xdr:col>99</xdr:col>
      <xdr:colOff>0</xdr:colOff>
      <xdr:row>46</xdr:row>
      <xdr:rowOff>0</xdr:rowOff>
    </xdr:to>
    <xdr:sp macro="" textlink="">
      <xdr:nvSpPr>
        <xdr:cNvPr id="30749" name="Line 29">
          <a:extLst>
            <a:ext uri="{FF2B5EF4-FFF2-40B4-BE49-F238E27FC236}">
              <a16:creationId xmlns:a16="http://schemas.microsoft.com/office/drawing/2014/main" id="{5C2AF5D9-85D0-F377-69DE-2F8D93DC783C}"/>
            </a:ext>
          </a:extLst>
        </xdr:cNvPr>
        <xdr:cNvSpPr>
          <a:spLocks noChangeShapeType="1"/>
        </xdr:cNvSpPr>
      </xdr:nvSpPr>
      <xdr:spPr bwMode="auto">
        <a:xfrm flipH="1">
          <a:off x="11391900" y="3327400"/>
          <a:ext cx="209550" cy="2286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57</xdr:col>
      <xdr:colOff>12700</xdr:colOff>
      <xdr:row>1</xdr:row>
      <xdr:rowOff>12700</xdr:rowOff>
    </xdr:from>
    <xdr:to>
      <xdr:col>102</xdr:col>
      <xdr:colOff>0</xdr:colOff>
      <xdr:row>46</xdr:row>
      <xdr:rowOff>0</xdr:rowOff>
    </xdr:to>
    <xdr:sp macro="" textlink="">
      <xdr:nvSpPr>
        <xdr:cNvPr id="30750" name="Line 30">
          <a:extLst>
            <a:ext uri="{FF2B5EF4-FFF2-40B4-BE49-F238E27FC236}">
              <a16:creationId xmlns:a16="http://schemas.microsoft.com/office/drawing/2014/main" id="{D741D61A-00FF-1DE8-908D-1D12C4EC36B9}"/>
            </a:ext>
          </a:extLst>
        </xdr:cNvPr>
        <xdr:cNvSpPr>
          <a:spLocks noChangeShapeType="1"/>
        </xdr:cNvSpPr>
      </xdr:nvSpPr>
      <xdr:spPr bwMode="auto">
        <a:xfrm>
          <a:off x="8680450" y="139700"/>
          <a:ext cx="3130550" cy="341630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12700</xdr:colOff>
      <xdr:row>2</xdr:row>
      <xdr:rowOff>19050</xdr:rowOff>
    </xdr:from>
    <xdr:to>
      <xdr:col>10</xdr:col>
      <xdr:colOff>647700</xdr:colOff>
      <xdr:row>5</xdr:row>
      <xdr:rowOff>19050</xdr:rowOff>
    </xdr:to>
    <xdr:grpSp>
      <xdr:nvGrpSpPr>
        <xdr:cNvPr id="16394" name="Group 10">
          <a:extLst>
            <a:ext uri="{FF2B5EF4-FFF2-40B4-BE49-F238E27FC236}">
              <a16:creationId xmlns:a16="http://schemas.microsoft.com/office/drawing/2014/main" id="{9ECAEDBB-F7D4-97F2-3964-B9999E620EE4}"/>
            </a:ext>
          </a:extLst>
        </xdr:cNvPr>
        <xdr:cNvGrpSpPr>
          <a:grpSpLocks/>
        </xdr:cNvGrpSpPr>
      </xdr:nvGrpSpPr>
      <xdr:grpSpPr bwMode="auto">
        <a:xfrm>
          <a:off x="201849" y="201444"/>
          <a:ext cx="5114587" cy="486383"/>
          <a:chOff x="20" y="22"/>
          <a:chExt cx="576" cy="52"/>
        </a:xfrm>
      </xdr:grpSpPr>
      <xdr:pic>
        <xdr:nvPicPr>
          <xdr:cNvPr id="16385" name="Picture 1">
            <a:extLst>
              <a:ext uri="{FF2B5EF4-FFF2-40B4-BE49-F238E27FC236}">
                <a16:creationId xmlns:a16="http://schemas.microsoft.com/office/drawing/2014/main" id="{9835DB27-9159-54F3-9FFF-BBEFEB1005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 y="22"/>
            <a:ext cx="576" cy="52"/>
          </a:xfrm>
          <a:prstGeom prst="rect">
            <a:avLst/>
          </a:prstGeom>
          <a:noFill/>
          <a:ln w="3175">
            <a:solidFill>
              <a:srgbClr xmlns:mc="http://schemas.openxmlformats.org/markup-compatibility/2006" xmlns:a14="http://schemas.microsoft.com/office/drawing/2010/main" val="003366" mc:Ignorable="a14" a14:legacySpreadsheetColorIndex="56"/>
            </a:solidFill>
            <a:miter lim="800000"/>
            <a:headEnd/>
            <a:tailEnd/>
          </a:ln>
          <a:extLst>
            <a:ext uri="{909E8E84-426E-40DD-AFC4-6F175D3DCCD1}">
              <a14:hiddenFill xmlns:a14="http://schemas.microsoft.com/office/drawing/2010/main">
                <a:solidFill>
                  <a:srgbClr val="FFFFFF"/>
                </a:solidFill>
              </a14:hiddenFill>
            </a:ext>
          </a:extLst>
        </xdr:spPr>
      </xdr:pic>
      <xdr:pic>
        <xdr:nvPicPr>
          <xdr:cNvPr id="16390" name="Picture 6">
            <a:extLst>
              <a:ext uri="{FF2B5EF4-FFF2-40B4-BE49-F238E27FC236}">
                <a16:creationId xmlns:a16="http://schemas.microsoft.com/office/drawing/2014/main" id="{583201C4-DF95-C485-6193-5D25A10A32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 y="28"/>
            <a:ext cx="38" cy="26"/>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391" name="WordArt 7">
            <a:extLst>
              <a:ext uri="{FF2B5EF4-FFF2-40B4-BE49-F238E27FC236}">
                <a16:creationId xmlns:a16="http://schemas.microsoft.com/office/drawing/2014/main" id="{F4616441-8130-7390-606F-34DD2FC18A0E}"/>
              </a:ext>
            </a:extLst>
          </xdr:cNvPr>
          <xdr:cNvSpPr>
            <a:spLocks noChangeArrowheads="1" noChangeShapeType="1" noTextEdit="1"/>
          </xdr:cNvSpPr>
        </xdr:nvSpPr>
        <xdr:spPr bwMode="auto">
          <a:xfrm>
            <a:off x="74" y="29"/>
            <a:ext cx="160" cy="26"/>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CO" sz="2400" kern="10" spc="0">
                <a:ln>
                  <a:noFill/>
                </a:ln>
                <a:solidFill>
                  <a:srgbClr val="FFFFFF"/>
                </a:solidFill>
                <a:effectLst/>
                <a:latin typeface="Verdana" panose="020B0604030504040204" pitchFamily="34" charset="0"/>
                <a:ea typeface="Verdana" panose="020B0604030504040204" pitchFamily="34" charset="0"/>
              </a:rPr>
              <a:t>QFD Online</a:t>
            </a:r>
          </a:p>
        </xdr:txBody>
      </xdr:sp>
      <xdr:sp macro="" textlink="">
        <xdr:nvSpPr>
          <xdr:cNvPr id="16392" name="WordArt 8">
            <a:extLst>
              <a:ext uri="{FF2B5EF4-FFF2-40B4-BE49-F238E27FC236}">
                <a16:creationId xmlns:a16="http://schemas.microsoft.com/office/drawing/2014/main" id="{3C80F423-35AD-0C2E-F5C0-45B2F3F7B32F}"/>
              </a:ext>
            </a:extLst>
          </xdr:cNvPr>
          <xdr:cNvSpPr>
            <a:spLocks noChangeArrowheads="1" noChangeShapeType="1" noTextEdit="1"/>
          </xdr:cNvSpPr>
        </xdr:nvSpPr>
        <xdr:spPr bwMode="auto">
          <a:xfrm>
            <a:off x="36" y="59"/>
            <a:ext cx="237" cy="12"/>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CO" sz="2400" kern="10" spc="0">
                <a:ln>
                  <a:noFill/>
                </a:ln>
                <a:solidFill>
                  <a:srgbClr val="FFFFFF"/>
                </a:solidFill>
                <a:effectLst/>
                <a:latin typeface="Verdana" panose="020B0604030504040204" pitchFamily="34" charset="0"/>
                <a:ea typeface="Verdana" panose="020B0604030504040204" pitchFamily="34" charset="0"/>
              </a:rPr>
              <a:t>...moving into the House of Quality</a:t>
            </a:r>
          </a:p>
        </xdr:txBody>
      </xdr:sp>
    </xdr:grpSp>
    <xdr:clientData/>
  </xdr:twoCellAnchor>
  <xdr:twoCellAnchor>
    <xdr:from>
      <xdr:col>5</xdr:col>
      <xdr:colOff>260350</xdr:colOff>
      <xdr:row>2</xdr:row>
      <xdr:rowOff>76200</xdr:rowOff>
    </xdr:from>
    <xdr:to>
      <xdr:col>5</xdr:col>
      <xdr:colOff>393700</xdr:colOff>
      <xdr:row>2</xdr:row>
      <xdr:rowOff>120650</xdr:rowOff>
    </xdr:to>
    <xdr:sp macro="" textlink="">
      <xdr:nvSpPr>
        <xdr:cNvPr id="16393" name="WordArt 9">
          <a:extLst>
            <a:ext uri="{FF2B5EF4-FFF2-40B4-BE49-F238E27FC236}">
              <a16:creationId xmlns:a16="http://schemas.microsoft.com/office/drawing/2014/main" id="{3135D68A-0A8C-B5F9-F8ED-5649B7915C0F}"/>
            </a:ext>
          </a:extLst>
        </xdr:cNvPr>
        <xdr:cNvSpPr>
          <a:spLocks noChangeArrowheads="1" noChangeShapeType="1" noTextEdit="1"/>
        </xdr:cNvSpPr>
      </xdr:nvSpPr>
      <xdr:spPr bwMode="auto">
        <a:xfrm>
          <a:off x="2051050" y="260350"/>
          <a:ext cx="133350" cy="44450"/>
        </a:xfrm>
        <a:prstGeom prst="rect">
          <a:avLst/>
        </a:prstGeom>
        <a:extLst>
          <a:ext uri="{91240B29-F687-4F45-9708-019B960494DF}">
            <a14:hiddenLine xmlns:a14="http://schemas.microsoft.com/office/drawing/2010/main" w="3175">
              <a:solidFill>
                <a:srgbClr xmlns:mc="http://schemas.openxmlformats.org/markup-compatibility/2006" val="FFFFFF" mc:Ignorable="a14" a14:legacySpreadsheetColorIndex="9"/>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s-CO" sz="2400" kern="10" spc="0">
              <a:ln>
                <a:noFill/>
              </a:ln>
              <a:solidFill>
                <a:srgbClr val="FFFFFF"/>
              </a:solidFill>
              <a:effectLst/>
              <a:latin typeface="Verdana" panose="020B0604030504040204" pitchFamily="34" charset="0"/>
              <a:ea typeface="Verdana" panose="020B0604030504040204" pitchFamily="34" charset="0"/>
            </a:rPr>
            <a:t>™</a:t>
          </a:r>
        </a:p>
      </xdr:txBody>
    </xdr:sp>
    <xdr:clientData/>
  </xdr:twoCellAnchor>
  <xdr:twoCellAnchor editAs="oneCell">
    <xdr:from>
      <xdr:col>14</xdr:col>
      <xdr:colOff>82550</xdr:colOff>
      <xdr:row>3</xdr:row>
      <xdr:rowOff>114300</xdr:rowOff>
    </xdr:from>
    <xdr:to>
      <xdr:col>14</xdr:col>
      <xdr:colOff>1460500</xdr:colOff>
      <xdr:row>8</xdr:row>
      <xdr:rowOff>76200</xdr:rowOff>
    </xdr:to>
    <xdr:pic>
      <xdr:nvPicPr>
        <xdr:cNvPr id="16395" name="Picture 11">
          <a:hlinkClick xmlns:r="http://schemas.openxmlformats.org/officeDocument/2006/relationships" r:id="rId3" tooltip="http://www.airacad.com/"/>
          <a:extLst>
            <a:ext uri="{FF2B5EF4-FFF2-40B4-BE49-F238E27FC236}">
              <a16:creationId xmlns:a16="http://schemas.microsoft.com/office/drawing/2014/main" id="{BF2DDAE8-67CD-63C1-F1FB-C4029D32CF7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803900" y="463550"/>
          <a:ext cx="1377950" cy="901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88900</xdr:colOff>
      <xdr:row>9</xdr:row>
      <xdr:rowOff>76200</xdr:rowOff>
    </xdr:from>
    <xdr:to>
      <xdr:col>14</xdr:col>
      <xdr:colOff>1460500</xdr:colOff>
      <xdr:row>13</xdr:row>
      <xdr:rowOff>228600</xdr:rowOff>
    </xdr:to>
    <xdr:pic>
      <xdr:nvPicPr>
        <xdr:cNvPr id="16396" name="Picture 12">
          <a:hlinkClick xmlns:r="http://schemas.openxmlformats.org/officeDocument/2006/relationships" r:id="rId5" tooltip="http://www.sixsigmaproductsgroup.com/"/>
          <a:extLst>
            <a:ext uri="{FF2B5EF4-FFF2-40B4-BE49-F238E27FC236}">
              <a16:creationId xmlns:a16="http://schemas.microsoft.com/office/drawing/2014/main" id="{107EAFB9-BA10-2B1B-EF22-C730FC36E423}"/>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810250" y="1524000"/>
          <a:ext cx="1371600" cy="990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http://www.qfdonline.com/templates/comments/" TargetMode="External"/><Relationship Id="rId7" Type="http://schemas.openxmlformats.org/officeDocument/2006/relationships/hyperlink" Target="http://www.qfdonline.com/templates/" TargetMode="External"/><Relationship Id="rId2" Type="http://schemas.openxmlformats.org/officeDocument/2006/relationships/hyperlink" Target="http://www.qfdonline.com/template-terms/" TargetMode="External"/><Relationship Id="rId1" Type="http://schemas.openxmlformats.org/officeDocument/2006/relationships/hyperlink" Target="http://www.qfdonline.com/template-terms/" TargetMode="External"/><Relationship Id="rId6" Type="http://schemas.openxmlformats.org/officeDocument/2006/relationships/hyperlink" Target="http://www.qfdonline.com/template-terms/" TargetMode="External"/><Relationship Id="rId5" Type="http://schemas.openxmlformats.org/officeDocument/2006/relationships/hyperlink" Target="http://www.qfdonline.com/templates/template-sponsorship/" TargetMode="External"/><Relationship Id="rId4" Type="http://schemas.openxmlformats.org/officeDocument/2006/relationships/hyperlink" Target="http://www.qfdonline.com/about/terms-of-use/" TargetMode="External"/><Relationship Id="rId9"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9EDCA-E0DE-4703-B05F-CCF676E00396}">
  <sheetPr codeName="Sheet1"/>
  <dimension ref="A1:DG306"/>
  <sheetViews>
    <sheetView tabSelected="1" zoomScale="65" zoomScaleNormal="65" zoomScaleSheetLayoutView="100" workbookViewId="0">
      <selection activeCell="D2" sqref="D2:G3"/>
    </sheetView>
  </sheetViews>
  <sheetFormatPr baseColWidth="10" defaultColWidth="5" defaultRowHeight="10" x14ac:dyDescent="0.2"/>
  <cols>
    <col min="1" max="1" width="4.1796875" style="3" customWidth="1"/>
    <col min="2" max="2" width="3.26953125" style="4" customWidth="1"/>
    <col min="3" max="3" width="4.453125" style="4" customWidth="1"/>
    <col min="4" max="5" width="5.453125" style="41" customWidth="1"/>
    <col min="6" max="7" width="17.1796875" style="5" customWidth="1"/>
    <col min="8" max="97" width="1" style="3" customWidth="1"/>
    <col min="98" max="108" width="5" style="3" customWidth="1"/>
    <col min="109" max="109" width="4.54296875" style="3" customWidth="1"/>
    <col min="110" max="110" width="5" style="3" customWidth="1"/>
    <col min="111" max="111" width="6" style="3" customWidth="1"/>
    <col min="112" max="16384" width="5" style="3"/>
  </cols>
  <sheetData>
    <row r="1" spans="1:111" x14ac:dyDescent="0.2">
      <c r="A1" s="17"/>
      <c r="B1" s="116"/>
      <c r="C1" s="116"/>
      <c r="D1" s="117"/>
      <c r="E1" s="117"/>
      <c r="F1" s="118"/>
      <c r="G1" s="118"/>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7"/>
      <c r="CV1" s="17"/>
      <c r="CW1" s="17"/>
      <c r="CX1" s="17"/>
      <c r="CY1" s="17"/>
      <c r="CZ1" s="17"/>
      <c r="DA1" s="17"/>
      <c r="DB1" s="17"/>
      <c r="DC1" s="17"/>
      <c r="DD1" s="17"/>
      <c r="DE1" s="17"/>
      <c r="DF1" s="17"/>
    </row>
    <row r="2" spans="1:111" s="65" customFormat="1" ht="6" customHeight="1" x14ac:dyDescent="0.25">
      <c r="A2" s="51"/>
      <c r="B2" s="154" t="s">
        <v>51</v>
      </c>
      <c r="C2" s="154"/>
      <c r="D2" s="143"/>
      <c r="E2" s="143"/>
      <c r="F2" s="143"/>
      <c r="G2" s="143"/>
      <c r="H2" s="119"/>
      <c r="I2" s="119"/>
      <c r="J2" s="75"/>
      <c r="K2" s="75"/>
      <c r="L2" s="75"/>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53"/>
      <c r="CU2" s="51"/>
      <c r="CV2" s="51"/>
      <c r="CW2" s="51"/>
      <c r="CX2" s="51"/>
      <c r="CY2" s="145" t="s">
        <v>37</v>
      </c>
      <c r="CZ2" s="146"/>
      <c r="DA2" s="146"/>
      <c r="DB2" s="146"/>
      <c r="DC2" s="146"/>
      <c r="DD2" s="146"/>
      <c r="DE2" s="147"/>
      <c r="DF2" s="51"/>
      <c r="DG2" s="79"/>
    </row>
    <row r="3" spans="1:111" s="65" customFormat="1" ht="6" customHeight="1" x14ac:dyDescent="0.25">
      <c r="A3" s="51"/>
      <c r="B3" s="154"/>
      <c r="C3" s="154"/>
      <c r="D3" s="144"/>
      <c r="E3" s="144"/>
      <c r="F3" s="144"/>
      <c r="G3" s="144"/>
      <c r="H3" s="119"/>
      <c r="I3" s="119"/>
      <c r="J3" s="75"/>
      <c r="K3" s="75"/>
      <c r="L3" s="75"/>
      <c r="M3" s="75"/>
      <c r="N3" s="75"/>
      <c r="O3" s="75"/>
      <c r="P3" s="75"/>
      <c r="Q3" s="75"/>
      <c r="R3" s="75"/>
      <c r="S3" s="75"/>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53"/>
      <c r="CU3" s="51"/>
      <c r="CV3" s="51"/>
      <c r="CW3" s="51"/>
      <c r="CX3" s="51"/>
      <c r="CY3" s="148"/>
      <c r="CZ3" s="149"/>
      <c r="DA3" s="149"/>
      <c r="DB3" s="149"/>
      <c r="DC3" s="149"/>
      <c r="DD3" s="149"/>
      <c r="DE3" s="150"/>
      <c r="DF3" s="51"/>
      <c r="DG3" s="79"/>
    </row>
    <row r="4" spans="1:111" s="65" customFormat="1" ht="6" customHeight="1" x14ac:dyDescent="0.25">
      <c r="A4" s="51"/>
      <c r="B4" s="89"/>
      <c r="C4" s="91"/>
      <c r="D4" s="92"/>
      <c r="E4" s="93"/>
      <c r="F4" s="93"/>
      <c r="G4" s="120"/>
      <c r="H4" s="119"/>
      <c r="I4" s="119"/>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189"/>
      <c r="AZ4" s="189"/>
      <c r="BA4" s="189"/>
      <c r="BB4" s="189"/>
      <c r="BC4" s="75"/>
      <c r="BD4" s="75"/>
      <c r="BE4" s="75"/>
      <c r="BF4" s="75"/>
      <c r="BG4" s="75"/>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53"/>
      <c r="CU4" s="51"/>
      <c r="CV4" s="51"/>
      <c r="CW4" s="51"/>
      <c r="CX4" s="51"/>
      <c r="CY4" s="55"/>
      <c r="CZ4" s="53"/>
      <c r="DA4" s="53"/>
      <c r="DB4" s="53"/>
      <c r="DC4" s="53"/>
      <c r="DD4" s="53"/>
      <c r="DE4" s="56"/>
      <c r="DF4" s="51"/>
      <c r="DG4" s="79"/>
    </row>
    <row r="5" spans="1:111" s="65" customFormat="1" ht="6" customHeight="1" x14ac:dyDescent="0.25">
      <c r="A5" s="51"/>
      <c r="B5" s="154" t="s">
        <v>52</v>
      </c>
      <c r="C5" s="154"/>
      <c r="D5" s="143"/>
      <c r="E5" s="143"/>
      <c r="F5" s="143"/>
      <c r="G5" s="143"/>
      <c r="H5" s="119"/>
      <c r="I5" s="119"/>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189"/>
      <c r="AZ5" s="189"/>
      <c r="BA5" s="189"/>
      <c r="BB5" s="189"/>
      <c r="BC5" s="75"/>
      <c r="BD5" s="75"/>
      <c r="BE5" s="75"/>
      <c r="BF5" s="75"/>
      <c r="BG5" s="75"/>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53"/>
      <c r="CU5" s="51"/>
      <c r="CV5" s="51"/>
      <c r="CW5" s="51"/>
      <c r="CX5" s="54"/>
      <c r="CY5" s="151" t="s">
        <v>33</v>
      </c>
      <c r="CZ5" s="152" t="s">
        <v>42</v>
      </c>
      <c r="DA5" s="152"/>
      <c r="DB5" s="152"/>
      <c r="DC5" s="152"/>
      <c r="DD5" s="152"/>
      <c r="DE5" s="153">
        <v>9</v>
      </c>
      <c r="DF5" s="54"/>
      <c r="DG5" s="79"/>
    </row>
    <row r="6" spans="1:111" s="65" customFormat="1" ht="6" customHeight="1" x14ac:dyDescent="0.25">
      <c r="A6" s="51"/>
      <c r="B6" s="154"/>
      <c r="C6" s="154"/>
      <c r="D6" s="144"/>
      <c r="E6" s="144"/>
      <c r="F6" s="144"/>
      <c r="G6" s="144"/>
      <c r="H6" s="119"/>
      <c r="I6" s="119"/>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53"/>
      <c r="CU6" s="51"/>
      <c r="CV6" s="51"/>
      <c r="CW6" s="51"/>
      <c r="CX6" s="54"/>
      <c r="CY6" s="151"/>
      <c r="CZ6" s="152"/>
      <c r="DA6" s="152"/>
      <c r="DB6" s="152"/>
      <c r="DC6" s="152"/>
      <c r="DD6" s="152"/>
      <c r="DE6" s="153"/>
      <c r="DF6" s="54"/>
      <c r="DG6" s="79"/>
    </row>
    <row r="7" spans="1:111" s="65" customFormat="1" ht="6" customHeight="1" x14ac:dyDescent="0.25">
      <c r="A7" s="51"/>
      <c r="B7" s="89"/>
      <c r="C7" s="91"/>
      <c r="D7" s="92"/>
      <c r="E7" s="93"/>
      <c r="F7" s="93"/>
      <c r="G7" s="120"/>
      <c r="H7" s="119"/>
      <c r="I7" s="119"/>
      <c r="J7" s="75"/>
      <c r="K7" s="75"/>
      <c r="L7" s="75"/>
      <c r="M7" s="75"/>
      <c r="N7" s="75"/>
      <c r="O7" s="75"/>
      <c r="P7" s="75"/>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189"/>
      <c r="AW7" s="189"/>
      <c r="AX7" s="189"/>
      <c r="AY7" s="189"/>
      <c r="AZ7" s="75"/>
      <c r="BA7" s="75"/>
      <c r="BB7" s="189"/>
      <c r="BC7" s="189"/>
      <c r="BD7" s="189"/>
      <c r="BE7" s="189"/>
      <c r="BF7" s="75"/>
      <c r="BG7" s="75"/>
      <c r="BH7" s="75"/>
      <c r="BI7" s="75"/>
      <c r="BJ7" s="75"/>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53"/>
      <c r="CU7" s="51"/>
      <c r="CV7" s="51"/>
      <c r="CW7" s="51"/>
      <c r="CX7" s="53"/>
      <c r="CY7" s="58"/>
      <c r="CZ7" s="53"/>
      <c r="DA7" s="53"/>
      <c r="DB7" s="53"/>
      <c r="DC7" s="53"/>
      <c r="DD7" s="53"/>
      <c r="DE7" s="56"/>
      <c r="DF7" s="53"/>
      <c r="DG7" s="79"/>
    </row>
    <row r="8" spans="1:111" s="65" customFormat="1" ht="6" customHeight="1" x14ac:dyDescent="0.25">
      <c r="A8" s="51"/>
      <c r="B8" s="154" t="s">
        <v>53</v>
      </c>
      <c r="C8" s="154"/>
      <c r="D8" s="155"/>
      <c r="E8" s="155"/>
      <c r="F8" s="155"/>
      <c r="G8" s="155"/>
      <c r="H8" s="119"/>
      <c r="I8" s="119"/>
      <c r="J8" s="75"/>
      <c r="K8" s="75"/>
      <c r="L8" s="75"/>
      <c r="M8" s="75"/>
      <c r="N8" s="75"/>
      <c r="O8" s="75"/>
      <c r="P8" s="75"/>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189"/>
      <c r="AW8" s="189"/>
      <c r="AX8" s="189"/>
      <c r="AY8" s="189"/>
      <c r="AZ8" s="75"/>
      <c r="BA8" s="75"/>
      <c r="BB8" s="189"/>
      <c r="BC8" s="189"/>
      <c r="BD8" s="189"/>
      <c r="BE8" s="189"/>
      <c r="BF8" s="75"/>
      <c r="BG8" s="75"/>
      <c r="BH8" s="75"/>
      <c r="BI8" s="75"/>
      <c r="BJ8" s="75"/>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53"/>
      <c r="CU8" s="51"/>
      <c r="CV8" s="51"/>
      <c r="CW8" s="51"/>
      <c r="CX8" s="53"/>
      <c r="CY8" s="151" t="s">
        <v>32</v>
      </c>
      <c r="CZ8" s="152" t="s">
        <v>43</v>
      </c>
      <c r="DA8" s="152"/>
      <c r="DB8" s="152"/>
      <c r="DC8" s="152"/>
      <c r="DD8" s="152"/>
      <c r="DE8" s="153">
        <v>3</v>
      </c>
      <c r="DF8" s="53"/>
      <c r="DG8" s="79"/>
    </row>
    <row r="9" spans="1:111" s="65" customFormat="1" ht="6" customHeight="1" x14ac:dyDescent="0.25">
      <c r="A9" s="51"/>
      <c r="B9" s="154"/>
      <c r="C9" s="154"/>
      <c r="D9" s="156"/>
      <c r="E9" s="156"/>
      <c r="F9" s="156"/>
      <c r="G9" s="156"/>
      <c r="H9" s="119"/>
      <c r="I9" s="119"/>
      <c r="J9" s="75"/>
      <c r="K9" s="75"/>
      <c r="L9" s="75"/>
      <c r="M9" s="75"/>
      <c r="N9" s="75"/>
      <c r="O9" s="75"/>
      <c r="P9" s="75"/>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53"/>
      <c r="CU9" s="51"/>
      <c r="CV9" s="51"/>
      <c r="CW9" s="51"/>
      <c r="CX9" s="53"/>
      <c r="CY9" s="151"/>
      <c r="CZ9" s="152"/>
      <c r="DA9" s="152"/>
      <c r="DB9" s="152"/>
      <c r="DC9" s="152"/>
      <c r="DD9" s="152"/>
      <c r="DE9" s="153"/>
      <c r="DF9" s="53"/>
      <c r="DG9" s="79"/>
    </row>
    <row r="10" spans="1:111" s="65" customFormat="1" ht="6" customHeight="1" x14ac:dyDescent="0.25">
      <c r="A10" s="51"/>
      <c r="B10" s="89"/>
      <c r="C10" s="91"/>
      <c r="D10" s="92"/>
      <c r="E10" s="93"/>
      <c r="F10" s="93"/>
      <c r="G10" s="120"/>
      <c r="H10" s="119"/>
      <c r="I10" s="119"/>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189"/>
      <c r="AT10" s="189"/>
      <c r="AU10" s="189"/>
      <c r="AV10" s="189"/>
      <c r="AW10" s="75"/>
      <c r="AX10" s="75"/>
      <c r="AY10" s="189"/>
      <c r="AZ10" s="189"/>
      <c r="BA10" s="189"/>
      <c r="BB10" s="189"/>
      <c r="BC10" s="75"/>
      <c r="BD10" s="75"/>
      <c r="BE10" s="189"/>
      <c r="BF10" s="189"/>
      <c r="BG10" s="189"/>
      <c r="BH10" s="189"/>
      <c r="BI10" s="75"/>
      <c r="BJ10" s="75"/>
      <c r="BK10" s="75"/>
      <c r="BL10" s="75"/>
      <c r="BM10" s="75"/>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53"/>
      <c r="CU10" s="51"/>
      <c r="CV10" s="51"/>
      <c r="CW10" s="51"/>
      <c r="CX10" s="53"/>
      <c r="CY10" s="58"/>
      <c r="CZ10" s="53"/>
      <c r="DA10" s="53"/>
      <c r="DB10" s="53"/>
      <c r="DC10" s="53"/>
      <c r="DD10" s="53"/>
      <c r="DE10" s="56"/>
      <c r="DF10" s="53"/>
      <c r="DG10" s="79"/>
    </row>
    <row r="11" spans="1:111" s="65" customFormat="1" ht="6" customHeight="1" x14ac:dyDescent="0.25">
      <c r="A11" s="51"/>
      <c r="B11" s="154" t="s">
        <v>54</v>
      </c>
      <c r="C11" s="154"/>
      <c r="D11" s="143"/>
      <c r="E11" s="143"/>
      <c r="F11" s="143"/>
      <c r="G11" s="143"/>
      <c r="H11" s="119"/>
      <c r="I11" s="119"/>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189"/>
      <c r="AT11" s="189"/>
      <c r="AU11" s="189"/>
      <c r="AV11" s="189"/>
      <c r="AW11" s="75"/>
      <c r="AX11" s="75"/>
      <c r="AY11" s="189"/>
      <c r="AZ11" s="189"/>
      <c r="BA11" s="189"/>
      <c r="BB11" s="189"/>
      <c r="BC11" s="75"/>
      <c r="BD11" s="75"/>
      <c r="BE11" s="189"/>
      <c r="BF11" s="189"/>
      <c r="BG11" s="189"/>
      <c r="BH11" s="189"/>
      <c r="BI11" s="75"/>
      <c r="BJ11" s="75"/>
      <c r="BK11" s="75"/>
      <c r="BL11" s="75"/>
      <c r="BM11" s="75"/>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53"/>
      <c r="CU11" s="51"/>
      <c r="CV11" s="51"/>
      <c r="CW11" s="51"/>
      <c r="CX11" s="53"/>
      <c r="CY11" s="151" t="s">
        <v>0</v>
      </c>
      <c r="CZ11" s="152" t="s">
        <v>44</v>
      </c>
      <c r="DA11" s="152"/>
      <c r="DB11" s="152"/>
      <c r="DC11" s="152"/>
      <c r="DD11" s="152"/>
      <c r="DE11" s="153">
        <v>1</v>
      </c>
      <c r="DF11" s="53"/>
      <c r="DG11" s="79"/>
    </row>
    <row r="12" spans="1:111" s="65" customFormat="1" ht="6" customHeight="1" x14ac:dyDescent="0.25">
      <c r="A12" s="51"/>
      <c r="B12" s="154"/>
      <c r="C12" s="154"/>
      <c r="D12" s="144"/>
      <c r="E12" s="144"/>
      <c r="F12" s="144"/>
      <c r="G12" s="144"/>
      <c r="H12" s="119"/>
      <c r="I12" s="119"/>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53"/>
      <c r="CU12" s="51"/>
      <c r="CV12" s="51"/>
      <c r="CW12" s="51"/>
      <c r="CX12" s="53"/>
      <c r="CY12" s="151"/>
      <c r="CZ12" s="152"/>
      <c r="DA12" s="152"/>
      <c r="DB12" s="152"/>
      <c r="DC12" s="152"/>
      <c r="DD12" s="152"/>
      <c r="DE12" s="153"/>
      <c r="DF12" s="53"/>
      <c r="DG12" s="79"/>
    </row>
    <row r="13" spans="1:111" s="65" customFormat="1" ht="6" customHeight="1" x14ac:dyDescent="0.25">
      <c r="A13" s="51"/>
      <c r="B13" s="90"/>
      <c r="C13" s="94"/>
      <c r="D13" s="93"/>
      <c r="E13" s="93"/>
      <c r="F13" s="93"/>
      <c r="G13" s="93"/>
      <c r="H13" s="119"/>
      <c r="I13" s="119"/>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189"/>
      <c r="AQ13" s="189"/>
      <c r="AR13" s="189"/>
      <c r="AS13" s="189"/>
      <c r="AT13" s="75"/>
      <c r="AU13" s="75"/>
      <c r="AV13" s="189"/>
      <c r="AW13" s="189"/>
      <c r="AX13" s="189"/>
      <c r="AY13" s="189"/>
      <c r="AZ13" s="75"/>
      <c r="BA13" s="75"/>
      <c r="BB13" s="189"/>
      <c r="BC13" s="189"/>
      <c r="BD13" s="189"/>
      <c r="BE13" s="189"/>
      <c r="BF13" s="75"/>
      <c r="BG13" s="75"/>
      <c r="BH13" s="189"/>
      <c r="BI13" s="189"/>
      <c r="BJ13" s="189"/>
      <c r="BK13" s="189"/>
      <c r="BL13" s="75"/>
      <c r="BM13" s="75"/>
      <c r="BN13" s="75"/>
      <c r="BO13" s="75"/>
      <c r="BP13" s="75"/>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53"/>
      <c r="CU13" s="51"/>
      <c r="CV13" s="51"/>
      <c r="CW13" s="51"/>
      <c r="CX13" s="53"/>
      <c r="CY13" s="60"/>
      <c r="CZ13" s="53"/>
      <c r="DA13" s="53"/>
      <c r="DB13" s="53"/>
      <c r="DC13" s="53"/>
      <c r="DD13" s="53"/>
      <c r="DE13" s="56"/>
      <c r="DF13" s="53"/>
      <c r="DG13" s="79"/>
    </row>
    <row r="14" spans="1:111" s="65" customFormat="1" ht="6" customHeight="1" x14ac:dyDescent="0.25">
      <c r="A14" s="51"/>
      <c r="B14" s="8"/>
      <c r="C14" s="8"/>
      <c r="D14" s="143"/>
      <c r="E14" s="143"/>
      <c r="F14" s="143"/>
      <c r="G14" s="143"/>
      <c r="H14" s="119"/>
      <c r="I14" s="119"/>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189"/>
      <c r="AQ14" s="189"/>
      <c r="AR14" s="189"/>
      <c r="AS14" s="189"/>
      <c r="AT14" s="75"/>
      <c r="AU14" s="75"/>
      <c r="AV14" s="189"/>
      <c r="AW14" s="189"/>
      <c r="AX14" s="189"/>
      <c r="AY14" s="189"/>
      <c r="AZ14" s="75"/>
      <c r="BA14" s="75"/>
      <c r="BB14" s="189"/>
      <c r="BC14" s="189"/>
      <c r="BD14" s="189"/>
      <c r="BE14" s="189"/>
      <c r="BF14" s="75"/>
      <c r="BG14" s="75"/>
      <c r="BH14" s="189"/>
      <c r="BI14" s="189"/>
      <c r="BJ14" s="189"/>
      <c r="BK14" s="189"/>
      <c r="BL14" s="75"/>
      <c r="BM14" s="75"/>
      <c r="BN14" s="75"/>
      <c r="BO14" s="75"/>
      <c r="BP14" s="75"/>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53"/>
      <c r="CU14" s="51"/>
      <c r="CV14" s="51"/>
      <c r="CW14" s="51"/>
      <c r="CX14" s="53"/>
      <c r="CY14" s="169" t="s">
        <v>34</v>
      </c>
      <c r="CZ14" s="152" t="s">
        <v>40</v>
      </c>
      <c r="DA14" s="152"/>
      <c r="DB14" s="152"/>
      <c r="DC14" s="152"/>
      <c r="DD14" s="152"/>
      <c r="DE14" s="113"/>
      <c r="DF14" s="53"/>
      <c r="DG14" s="79"/>
    </row>
    <row r="15" spans="1:111" s="65" customFormat="1" ht="6" customHeight="1" x14ac:dyDescent="0.25">
      <c r="A15" s="51"/>
      <c r="B15" s="8"/>
      <c r="C15" s="8"/>
      <c r="D15" s="144"/>
      <c r="E15" s="144"/>
      <c r="F15" s="144"/>
      <c r="G15" s="144"/>
      <c r="H15" s="119"/>
      <c r="I15" s="119"/>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53"/>
      <c r="CU15" s="51"/>
      <c r="CV15" s="51"/>
      <c r="CW15" s="51"/>
      <c r="CX15" s="53"/>
      <c r="CY15" s="169"/>
      <c r="CZ15" s="152"/>
      <c r="DA15" s="152"/>
      <c r="DB15" s="152"/>
      <c r="DC15" s="152"/>
      <c r="DD15" s="152"/>
      <c r="DE15" s="113"/>
      <c r="DF15" s="53"/>
      <c r="DG15" s="79"/>
    </row>
    <row r="16" spans="1:111" s="65" customFormat="1" ht="6" customHeight="1" x14ac:dyDescent="0.25">
      <c r="A16" s="51"/>
      <c r="B16" s="8"/>
      <c r="C16" s="8"/>
      <c r="D16" s="93"/>
      <c r="E16" s="93"/>
      <c r="F16" s="93"/>
      <c r="G16" s="93"/>
      <c r="H16" s="119"/>
      <c r="I16" s="119"/>
      <c r="J16" s="75"/>
      <c r="K16" s="75"/>
      <c r="L16" s="75"/>
      <c r="M16" s="75"/>
      <c r="N16" s="75"/>
      <c r="O16" s="75"/>
      <c r="P16" s="75"/>
      <c r="Q16" s="75"/>
      <c r="R16" s="75"/>
      <c r="S16" s="75"/>
      <c r="T16" s="75"/>
      <c r="U16" s="75"/>
      <c r="V16" s="75"/>
      <c r="W16" s="75"/>
      <c r="X16" s="75"/>
      <c r="Y16" s="75"/>
      <c r="Z16" s="75"/>
      <c r="AA16" s="75"/>
      <c r="AB16" s="75"/>
      <c r="AC16" s="75"/>
      <c r="AD16" s="75"/>
      <c r="AE16" s="75"/>
      <c r="AF16" s="75"/>
      <c r="AG16" s="75"/>
      <c r="AH16" s="75"/>
      <c r="AI16" s="75"/>
      <c r="AJ16" s="75"/>
      <c r="AK16" s="75"/>
      <c r="AL16" s="75"/>
      <c r="AM16" s="189"/>
      <c r="AN16" s="189"/>
      <c r="AO16" s="189"/>
      <c r="AP16" s="189"/>
      <c r="AQ16" s="75"/>
      <c r="AR16" s="75"/>
      <c r="AS16" s="189"/>
      <c r="AT16" s="189"/>
      <c r="AU16" s="189"/>
      <c r="AV16" s="189"/>
      <c r="AW16" s="75"/>
      <c r="AX16" s="75"/>
      <c r="AY16" s="189"/>
      <c r="AZ16" s="189"/>
      <c r="BA16" s="189"/>
      <c r="BB16" s="189"/>
      <c r="BC16" s="75"/>
      <c r="BD16" s="75"/>
      <c r="BE16" s="189"/>
      <c r="BF16" s="189"/>
      <c r="BG16" s="189"/>
      <c r="BH16" s="189"/>
      <c r="BI16" s="75"/>
      <c r="BJ16" s="75"/>
      <c r="BK16" s="189"/>
      <c r="BL16" s="189"/>
      <c r="BM16" s="189"/>
      <c r="BN16" s="189"/>
      <c r="BO16" s="75"/>
      <c r="BP16" s="75"/>
      <c r="BQ16" s="75"/>
      <c r="BR16" s="75"/>
      <c r="BS16" s="75"/>
      <c r="BT16" s="75"/>
      <c r="BU16" s="75"/>
      <c r="BV16" s="75"/>
      <c r="BW16" s="75"/>
      <c r="BX16" s="75"/>
      <c r="BY16" s="75"/>
      <c r="BZ16" s="75"/>
      <c r="CA16" s="75"/>
      <c r="CB16" s="75"/>
      <c r="CC16" s="75"/>
      <c r="CD16" s="75"/>
      <c r="CE16" s="75"/>
      <c r="CF16" s="75"/>
      <c r="CG16" s="75"/>
      <c r="CH16" s="75"/>
      <c r="CI16" s="75"/>
      <c r="CJ16" s="75"/>
      <c r="CK16" s="75"/>
      <c r="CL16" s="75"/>
      <c r="CM16" s="75"/>
      <c r="CN16" s="75"/>
      <c r="CO16" s="75"/>
      <c r="CP16" s="75"/>
      <c r="CQ16" s="75"/>
      <c r="CR16" s="75"/>
      <c r="CS16" s="75"/>
      <c r="CT16" s="53"/>
      <c r="CU16" s="51"/>
      <c r="CV16" s="51"/>
      <c r="CW16" s="51"/>
      <c r="CX16" s="59"/>
      <c r="CY16" s="60"/>
      <c r="CZ16" s="53"/>
      <c r="DA16" s="53"/>
      <c r="DB16" s="53"/>
      <c r="DC16" s="53"/>
      <c r="DD16" s="53"/>
      <c r="DE16" s="56"/>
      <c r="DF16" s="53"/>
      <c r="DG16" s="79"/>
    </row>
    <row r="17" spans="1:111" s="65" customFormat="1" ht="6" customHeight="1" x14ac:dyDescent="0.25">
      <c r="A17" s="51"/>
      <c r="B17" s="8"/>
      <c r="C17" s="8"/>
      <c r="D17" s="143"/>
      <c r="E17" s="143"/>
      <c r="F17" s="143"/>
      <c r="G17" s="143"/>
      <c r="H17" s="119"/>
      <c r="I17" s="119"/>
      <c r="J17" s="75"/>
      <c r="K17" s="75"/>
      <c r="L17" s="75"/>
      <c r="M17" s="75"/>
      <c r="N17" s="75"/>
      <c r="O17" s="75"/>
      <c r="P17" s="75"/>
      <c r="Q17" s="75"/>
      <c r="R17" s="75"/>
      <c r="S17" s="75"/>
      <c r="T17" s="75"/>
      <c r="U17" s="75"/>
      <c r="V17" s="75"/>
      <c r="W17" s="75"/>
      <c r="X17" s="75"/>
      <c r="Y17" s="75"/>
      <c r="Z17" s="75"/>
      <c r="AA17" s="75"/>
      <c r="AB17" s="75"/>
      <c r="AC17" s="75"/>
      <c r="AD17" s="75"/>
      <c r="AE17" s="75"/>
      <c r="AF17" s="75"/>
      <c r="AG17" s="75"/>
      <c r="AH17" s="75"/>
      <c r="AI17" s="75"/>
      <c r="AJ17" s="75"/>
      <c r="AK17" s="75"/>
      <c r="AL17" s="75"/>
      <c r="AM17" s="189"/>
      <c r="AN17" s="189"/>
      <c r="AO17" s="189"/>
      <c r="AP17" s="189"/>
      <c r="AQ17" s="75"/>
      <c r="AR17" s="75"/>
      <c r="AS17" s="189"/>
      <c r="AT17" s="189"/>
      <c r="AU17" s="189"/>
      <c r="AV17" s="189"/>
      <c r="AW17" s="75"/>
      <c r="AX17" s="75"/>
      <c r="AY17" s="189"/>
      <c r="AZ17" s="189"/>
      <c r="BA17" s="189"/>
      <c r="BB17" s="189"/>
      <c r="BC17" s="75"/>
      <c r="BD17" s="75"/>
      <c r="BE17" s="189"/>
      <c r="BF17" s="189"/>
      <c r="BG17" s="189"/>
      <c r="BH17" s="189"/>
      <c r="BI17" s="75"/>
      <c r="BJ17" s="75"/>
      <c r="BK17" s="189"/>
      <c r="BL17" s="189"/>
      <c r="BM17" s="189"/>
      <c r="BN17" s="189"/>
      <c r="BO17" s="75"/>
      <c r="BP17" s="75"/>
      <c r="BQ17" s="75"/>
      <c r="BR17" s="75"/>
      <c r="BS17" s="75"/>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53"/>
      <c r="CU17" s="51"/>
      <c r="CV17" s="51"/>
      <c r="CW17" s="51"/>
      <c r="CX17" s="53"/>
      <c r="CY17" s="169" t="s">
        <v>31</v>
      </c>
      <c r="CZ17" s="152" t="s">
        <v>39</v>
      </c>
      <c r="DA17" s="152"/>
      <c r="DB17" s="152"/>
      <c r="DC17" s="152"/>
      <c r="DD17" s="152"/>
      <c r="DE17" s="113"/>
      <c r="DF17" s="53"/>
      <c r="DG17" s="79"/>
    </row>
    <row r="18" spans="1:111" s="65" customFormat="1" ht="6" customHeight="1" x14ac:dyDescent="0.25">
      <c r="A18" s="51"/>
      <c r="B18" s="8"/>
      <c r="C18" s="8"/>
      <c r="D18" s="144"/>
      <c r="E18" s="144"/>
      <c r="F18" s="144"/>
      <c r="G18" s="144"/>
      <c r="H18" s="119"/>
      <c r="I18" s="119"/>
      <c r="J18" s="75"/>
      <c r="K18" s="75"/>
      <c r="L18" s="75"/>
      <c r="M18" s="75"/>
      <c r="N18" s="75"/>
      <c r="O18" s="75"/>
      <c r="P18" s="75"/>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53"/>
      <c r="CU18" s="51"/>
      <c r="CV18" s="51"/>
      <c r="CW18" s="51"/>
      <c r="CX18" s="53"/>
      <c r="CY18" s="169"/>
      <c r="CZ18" s="152"/>
      <c r="DA18" s="152"/>
      <c r="DB18" s="152"/>
      <c r="DC18" s="152"/>
      <c r="DD18" s="152"/>
      <c r="DE18" s="113"/>
      <c r="DF18" s="53"/>
      <c r="DG18" s="79"/>
    </row>
    <row r="19" spans="1:111" s="65" customFormat="1" ht="6" customHeight="1" x14ac:dyDescent="0.25">
      <c r="A19" s="51"/>
      <c r="B19" s="8"/>
      <c r="C19" s="8"/>
      <c r="D19" s="93"/>
      <c r="E19" s="93"/>
      <c r="F19" s="93"/>
      <c r="G19" s="93"/>
      <c r="H19" s="119"/>
      <c r="I19" s="119"/>
      <c r="J19" s="75"/>
      <c r="K19" s="75"/>
      <c r="L19" s="75"/>
      <c r="M19" s="75"/>
      <c r="N19" s="75"/>
      <c r="O19" s="75"/>
      <c r="P19" s="75"/>
      <c r="Q19" s="75"/>
      <c r="R19" s="75"/>
      <c r="S19" s="75"/>
      <c r="T19" s="75"/>
      <c r="U19" s="75"/>
      <c r="V19" s="75"/>
      <c r="W19" s="75"/>
      <c r="X19" s="75"/>
      <c r="Y19" s="75"/>
      <c r="Z19" s="75"/>
      <c r="AA19" s="75"/>
      <c r="AB19" s="75"/>
      <c r="AC19" s="75"/>
      <c r="AD19" s="75"/>
      <c r="AE19" s="75"/>
      <c r="AF19" s="75"/>
      <c r="AG19" s="75"/>
      <c r="AH19" s="75"/>
      <c r="AI19" s="75"/>
      <c r="AJ19" s="189"/>
      <c r="AK19" s="189"/>
      <c r="AL19" s="189"/>
      <c r="AM19" s="189"/>
      <c r="AN19" s="75"/>
      <c r="AO19" s="75"/>
      <c r="AP19" s="189"/>
      <c r="AQ19" s="189"/>
      <c r="AR19" s="189"/>
      <c r="AS19" s="189"/>
      <c r="AT19" s="75"/>
      <c r="AU19" s="75"/>
      <c r="AV19" s="189"/>
      <c r="AW19" s="189"/>
      <c r="AX19" s="189"/>
      <c r="AY19" s="189"/>
      <c r="AZ19" s="75"/>
      <c r="BA19" s="75"/>
      <c r="BB19" s="189"/>
      <c r="BC19" s="189"/>
      <c r="BD19" s="189"/>
      <c r="BE19" s="189"/>
      <c r="BF19" s="75"/>
      <c r="BG19" s="75"/>
      <c r="BH19" s="189"/>
      <c r="BI19" s="189"/>
      <c r="BJ19" s="189"/>
      <c r="BK19" s="189"/>
      <c r="BL19" s="75"/>
      <c r="BM19" s="75"/>
      <c r="BN19" s="189"/>
      <c r="BO19" s="189"/>
      <c r="BP19" s="189"/>
      <c r="BQ19" s="189"/>
      <c r="BR19" s="75"/>
      <c r="BS19" s="75"/>
      <c r="BT19" s="75"/>
      <c r="BU19" s="75"/>
      <c r="BV19" s="75"/>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53"/>
      <c r="CU19" s="51"/>
      <c r="CV19" s="51"/>
      <c r="CW19" s="51"/>
      <c r="CX19" s="53"/>
      <c r="CY19" s="60"/>
      <c r="CZ19" s="53"/>
      <c r="DA19" s="53"/>
      <c r="DB19" s="53"/>
      <c r="DC19" s="53"/>
      <c r="DD19" s="53"/>
      <c r="DE19" s="56"/>
      <c r="DF19" s="53"/>
      <c r="DG19" s="79"/>
    </row>
    <row r="20" spans="1:111" s="65" customFormat="1" ht="6" customHeight="1" x14ac:dyDescent="0.25">
      <c r="A20" s="51"/>
      <c r="B20" s="8"/>
      <c r="C20" s="8"/>
      <c r="D20" s="143"/>
      <c r="E20" s="143"/>
      <c r="F20" s="143"/>
      <c r="G20" s="143"/>
      <c r="H20" s="119"/>
      <c r="I20" s="119"/>
      <c r="J20" s="75"/>
      <c r="K20" s="75"/>
      <c r="L20" s="75"/>
      <c r="M20" s="75"/>
      <c r="N20" s="75"/>
      <c r="O20" s="75"/>
      <c r="P20" s="75"/>
      <c r="Q20" s="75"/>
      <c r="R20" s="75"/>
      <c r="S20" s="75"/>
      <c r="T20" s="75"/>
      <c r="U20" s="75"/>
      <c r="V20" s="75"/>
      <c r="W20" s="75"/>
      <c r="X20" s="75"/>
      <c r="Y20" s="75"/>
      <c r="Z20" s="75"/>
      <c r="AA20" s="75"/>
      <c r="AB20" s="75"/>
      <c r="AC20" s="75"/>
      <c r="AD20" s="75"/>
      <c r="AE20" s="75"/>
      <c r="AF20" s="75"/>
      <c r="AG20" s="75"/>
      <c r="AH20" s="75"/>
      <c r="AI20" s="75"/>
      <c r="AJ20" s="189"/>
      <c r="AK20" s="189"/>
      <c r="AL20" s="189"/>
      <c r="AM20" s="189"/>
      <c r="AN20" s="75"/>
      <c r="AO20" s="75"/>
      <c r="AP20" s="189"/>
      <c r="AQ20" s="189"/>
      <c r="AR20" s="189"/>
      <c r="AS20" s="189"/>
      <c r="AT20" s="75"/>
      <c r="AU20" s="75"/>
      <c r="AV20" s="189"/>
      <c r="AW20" s="189"/>
      <c r="AX20" s="189"/>
      <c r="AY20" s="189"/>
      <c r="AZ20" s="75"/>
      <c r="BA20" s="75"/>
      <c r="BB20" s="189"/>
      <c r="BC20" s="189"/>
      <c r="BD20" s="189"/>
      <c r="BE20" s="189"/>
      <c r="BF20" s="75"/>
      <c r="BG20" s="75"/>
      <c r="BH20" s="189"/>
      <c r="BI20" s="189"/>
      <c r="BJ20" s="189"/>
      <c r="BK20" s="189"/>
      <c r="BL20" s="75"/>
      <c r="BM20" s="75"/>
      <c r="BN20" s="189"/>
      <c r="BO20" s="189"/>
      <c r="BP20" s="189"/>
      <c r="BQ20" s="189"/>
      <c r="BR20" s="75"/>
      <c r="BS20" s="75"/>
      <c r="BT20" s="75"/>
      <c r="BU20" s="75"/>
      <c r="BV20" s="75"/>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53"/>
      <c r="CU20" s="51"/>
      <c r="CV20" s="51"/>
      <c r="CW20" s="51"/>
      <c r="CX20" s="53"/>
      <c r="CY20" s="169" t="s">
        <v>30</v>
      </c>
      <c r="CZ20" s="152" t="s">
        <v>38</v>
      </c>
      <c r="DA20" s="152"/>
      <c r="DB20" s="152"/>
      <c r="DC20" s="152"/>
      <c r="DD20" s="152"/>
      <c r="DE20" s="113"/>
      <c r="DF20" s="53"/>
      <c r="DG20" s="79"/>
    </row>
    <row r="21" spans="1:111" s="65" customFormat="1" ht="6" customHeight="1" x14ac:dyDescent="0.25">
      <c r="A21" s="51"/>
      <c r="B21" s="8"/>
      <c r="C21" s="8"/>
      <c r="D21" s="144"/>
      <c r="E21" s="144"/>
      <c r="F21" s="144"/>
      <c r="G21" s="144"/>
      <c r="H21" s="119"/>
      <c r="I21" s="119"/>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53"/>
      <c r="CU21" s="51"/>
      <c r="CV21" s="51"/>
      <c r="CW21" s="51"/>
      <c r="CX21" s="53"/>
      <c r="CY21" s="169"/>
      <c r="CZ21" s="152"/>
      <c r="DA21" s="152"/>
      <c r="DB21" s="152"/>
      <c r="DC21" s="152"/>
      <c r="DD21" s="152"/>
      <c r="DE21" s="113"/>
      <c r="DF21" s="53"/>
      <c r="DG21" s="79"/>
    </row>
    <row r="22" spans="1:111" s="65" customFormat="1" ht="6" customHeight="1" x14ac:dyDescent="0.25">
      <c r="A22" s="51"/>
      <c r="B22" s="8"/>
      <c r="C22" s="8"/>
      <c r="D22" s="93"/>
      <c r="E22" s="93"/>
      <c r="F22" s="93"/>
      <c r="G22" s="93"/>
      <c r="H22" s="119"/>
      <c r="I22" s="119"/>
      <c r="J22" s="75"/>
      <c r="K22" s="75"/>
      <c r="L22" s="75"/>
      <c r="M22" s="75"/>
      <c r="N22" s="75"/>
      <c r="O22" s="75"/>
      <c r="P22" s="75"/>
      <c r="Q22" s="75"/>
      <c r="R22" s="75"/>
      <c r="S22" s="75"/>
      <c r="T22" s="75"/>
      <c r="U22" s="75"/>
      <c r="V22" s="75"/>
      <c r="W22" s="75"/>
      <c r="X22" s="75"/>
      <c r="Y22" s="75"/>
      <c r="Z22" s="75"/>
      <c r="AA22" s="75"/>
      <c r="AB22" s="75"/>
      <c r="AC22" s="75"/>
      <c r="AD22" s="75"/>
      <c r="AE22" s="75"/>
      <c r="AF22" s="75"/>
      <c r="AG22" s="189"/>
      <c r="AH22" s="189"/>
      <c r="AI22" s="189"/>
      <c r="AJ22" s="189"/>
      <c r="AK22" s="75"/>
      <c r="AL22" s="75"/>
      <c r="AM22" s="189"/>
      <c r="AN22" s="189"/>
      <c r="AO22" s="189"/>
      <c r="AP22" s="189"/>
      <c r="AQ22" s="75"/>
      <c r="AR22" s="75"/>
      <c r="AS22" s="189"/>
      <c r="AT22" s="189"/>
      <c r="AU22" s="189"/>
      <c r="AV22" s="189"/>
      <c r="AW22" s="75"/>
      <c r="AX22" s="75"/>
      <c r="AY22" s="189"/>
      <c r="AZ22" s="189"/>
      <c r="BA22" s="189"/>
      <c r="BB22" s="189"/>
      <c r="BC22" s="75"/>
      <c r="BD22" s="75"/>
      <c r="BE22" s="189"/>
      <c r="BF22" s="189"/>
      <c r="BG22" s="189"/>
      <c r="BH22" s="189"/>
      <c r="BI22" s="75"/>
      <c r="BJ22" s="75"/>
      <c r="BK22" s="189"/>
      <c r="BL22" s="189"/>
      <c r="BM22" s="189"/>
      <c r="BN22" s="189"/>
      <c r="BO22" s="75"/>
      <c r="BP22" s="75"/>
      <c r="BQ22" s="189"/>
      <c r="BR22" s="189"/>
      <c r="BS22" s="189"/>
      <c r="BT22" s="189"/>
      <c r="BU22" s="75"/>
      <c r="BV22" s="75"/>
      <c r="BW22" s="75"/>
      <c r="BX22" s="75"/>
      <c r="BY22" s="75"/>
      <c r="BZ22" s="75"/>
      <c r="CA22" s="75"/>
      <c r="CB22" s="75"/>
      <c r="CC22" s="75"/>
      <c r="CD22" s="75"/>
      <c r="CE22" s="75"/>
      <c r="CF22" s="75"/>
      <c r="CG22" s="75"/>
      <c r="CH22" s="75"/>
      <c r="CI22" s="75"/>
      <c r="CJ22" s="75"/>
      <c r="CK22" s="75"/>
      <c r="CL22" s="75"/>
      <c r="CM22" s="75"/>
      <c r="CN22" s="75"/>
      <c r="CO22" s="75"/>
      <c r="CP22" s="75"/>
      <c r="CQ22" s="75"/>
      <c r="CR22" s="75"/>
      <c r="CS22" s="75"/>
      <c r="CT22" s="53"/>
      <c r="CU22" s="51"/>
      <c r="CV22" s="51"/>
      <c r="CW22" s="51"/>
      <c r="CX22" s="53"/>
      <c r="CY22" s="60"/>
      <c r="CZ22" s="53"/>
      <c r="DA22" s="53"/>
      <c r="DB22" s="53"/>
      <c r="DC22" s="53"/>
      <c r="DD22" s="53"/>
      <c r="DE22" s="56"/>
      <c r="DF22" s="53"/>
      <c r="DG22" s="79"/>
    </row>
    <row r="23" spans="1:111" s="65" customFormat="1" ht="6" customHeight="1" x14ac:dyDescent="0.25">
      <c r="A23" s="51"/>
      <c r="B23" s="8"/>
      <c r="C23" s="8"/>
      <c r="D23" s="143"/>
      <c r="E23" s="143"/>
      <c r="F23" s="143"/>
      <c r="G23" s="143"/>
      <c r="H23" s="119"/>
      <c r="I23" s="119"/>
      <c r="J23" s="75"/>
      <c r="K23" s="75"/>
      <c r="L23" s="75"/>
      <c r="M23" s="75"/>
      <c r="N23" s="75"/>
      <c r="O23" s="75"/>
      <c r="P23" s="75"/>
      <c r="Q23" s="75"/>
      <c r="R23" s="75"/>
      <c r="S23" s="75"/>
      <c r="T23" s="75"/>
      <c r="U23" s="75"/>
      <c r="V23" s="75"/>
      <c r="W23" s="75"/>
      <c r="X23" s="75"/>
      <c r="Y23" s="75"/>
      <c r="Z23" s="75"/>
      <c r="AA23" s="75"/>
      <c r="AB23" s="75"/>
      <c r="AC23" s="75"/>
      <c r="AD23" s="75"/>
      <c r="AE23" s="75"/>
      <c r="AF23" s="75"/>
      <c r="AG23" s="189"/>
      <c r="AH23" s="189"/>
      <c r="AI23" s="189"/>
      <c r="AJ23" s="189"/>
      <c r="AK23" s="75"/>
      <c r="AL23" s="75"/>
      <c r="AM23" s="189"/>
      <c r="AN23" s="189"/>
      <c r="AO23" s="189"/>
      <c r="AP23" s="189"/>
      <c r="AQ23" s="75"/>
      <c r="AR23" s="75"/>
      <c r="AS23" s="189"/>
      <c r="AT23" s="189"/>
      <c r="AU23" s="189"/>
      <c r="AV23" s="189"/>
      <c r="AW23" s="75"/>
      <c r="AX23" s="75"/>
      <c r="AY23" s="189"/>
      <c r="AZ23" s="189"/>
      <c r="BA23" s="189"/>
      <c r="BB23" s="189"/>
      <c r="BC23" s="75"/>
      <c r="BD23" s="75"/>
      <c r="BE23" s="189"/>
      <c r="BF23" s="189"/>
      <c r="BG23" s="189"/>
      <c r="BH23" s="189"/>
      <c r="BI23" s="75"/>
      <c r="BJ23" s="75"/>
      <c r="BK23" s="189"/>
      <c r="BL23" s="189"/>
      <c r="BM23" s="189"/>
      <c r="BN23" s="189"/>
      <c r="BO23" s="75"/>
      <c r="BP23" s="75"/>
      <c r="BQ23" s="189"/>
      <c r="BR23" s="189"/>
      <c r="BS23" s="189"/>
      <c r="BT23" s="189"/>
      <c r="BU23" s="75"/>
      <c r="BV23" s="75"/>
      <c r="BW23" s="75"/>
      <c r="BX23" s="75"/>
      <c r="BY23" s="75"/>
      <c r="BZ23" s="75"/>
      <c r="CA23" s="75"/>
      <c r="CB23" s="75"/>
      <c r="CC23" s="75"/>
      <c r="CD23" s="75"/>
      <c r="CE23" s="75"/>
      <c r="CF23" s="75"/>
      <c r="CG23" s="75"/>
      <c r="CH23" s="75"/>
      <c r="CI23" s="75"/>
      <c r="CJ23" s="75"/>
      <c r="CK23" s="75"/>
      <c r="CL23" s="75"/>
      <c r="CM23" s="75"/>
      <c r="CN23" s="75"/>
      <c r="CO23" s="75"/>
      <c r="CP23" s="75"/>
      <c r="CQ23" s="75"/>
      <c r="CR23" s="75"/>
      <c r="CS23" s="75"/>
      <c r="CT23" s="53"/>
      <c r="CU23" s="51"/>
      <c r="CV23" s="51"/>
      <c r="CW23" s="51"/>
      <c r="CX23" s="53"/>
      <c r="CY23" s="169" t="s">
        <v>4</v>
      </c>
      <c r="CZ23" s="152" t="s">
        <v>41</v>
      </c>
      <c r="DA23" s="152"/>
      <c r="DB23" s="152"/>
      <c r="DC23" s="152"/>
      <c r="DD23" s="152"/>
      <c r="DE23" s="113"/>
      <c r="DF23" s="53"/>
      <c r="DG23" s="79"/>
    </row>
    <row r="24" spans="1:111" s="65" customFormat="1" ht="6" customHeight="1" x14ac:dyDescent="0.25">
      <c r="A24" s="51"/>
      <c r="B24" s="8"/>
      <c r="C24" s="8"/>
      <c r="D24" s="144"/>
      <c r="E24" s="144"/>
      <c r="F24" s="144"/>
      <c r="G24" s="144"/>
      <c r="H24" s="119"/>
      <c r="I24" s="119"/>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53"/>
      <c r="CU24" s="51"/>
      <c r="CV24" s="51"/>
      <c r="CW24" s="51"/>
      <c r="CX24" s="53"/>
      <c r="CY24" s="169"/>
      <c r="CZ24" s="152"/>
      <c r="DA24" s="152"/>
      <c r="DB24" s="152"/>
      <c r="DC24" s="152"/>
      <c r="DD24" s="152"/>
      <c r="DE24" s="113"/>
      <c r="DF24" s="53"/>
      <c r="DG24" s="79"/>
    </row>
    <row r="25" spans="1:111" s="65" customFormat="1" ht="6" customHeight="1" x14ac:dyDescent="0.25">
      <c r="A25" s="51"/>
      <c r="B25" s="8"/>
      <c r="C25" s="8"/>
      <c r="D25" s="93"/>
      <c r="E25" s="93"/>
      <c r="F25" s="93"/>
      <c r="G25" s="93"/>
      <c r="H25" s="119"/>
      <c r="I25" s="119"/>
      <c r="J25" s="75"/>
      <c r="K25" s="75"/>
      <c r="L25" s="75"/>
      <c r="M25" s="75"/>
      <c r="N25" s="75"/>
      <c r="O25" s="75"/>
      <c r="P25" s="75"/>
      <c r="Q25" s="75"/>
      <c r="R25" s="75"/>
      <c r="S25" s="75"/>
      <c r="T25" s="75"/>
      <c r="U25" s="75"/>
      <c r="V25" s="75"/>
      <c r="W25" s="75"/>
      <c r="X25" s="75"/>
      <c r="Y25" s="75"/>
      <c r="Z25" s="75"/>
      <c r="AA25" s="75"/>
      <c r="AB25" s="75"/>
      <c r="AC25" s="75"/>
      <c r="AD25" s="189"/>
      <c r="AE25" s="189"/>
      <c r="AF25" s="189"/>
      <c r="AG25" s="189"/>
      <c r="AH25" s="75"/>
      <c r="AI25" s="75"/>
      <c r="AJ25" s="189"/>
      <c r="AK25" s="189"/>
      <c r="AL25" s="189"/>
      <c r="AM25" s="189"/>
      <c r="AN25" s="75"/>
      <c r="AO25" s="75"/>
      <c r="AP25" s="189"/>
      <c r="AQ25" s="189"/>
      <c r="AR25" s="189"/>
      <c r="AS25" s="189"/>
      <c r="AT25" s="75"/>
      <c r="AU25" s="75"/>
      <c r="AV25" s="189"/>
      <c r="AW25" s="189"/>
      <c r="AX25" s="189"/>
      <c r="AY25" s="189"/>
      <c r="AZ25" s="75"/>
      <c r="BA25" s="75"/>
      <c r="BB25" s="189"/>
      <c r="BC25" s="189"/>
      <c r="BD25" s="189"/>
      <c r="BE25" s="189"/>
      <c r="BF25" s="75"/>
      <c r="BG25" s="75"/>
      <c r="BH25" s="189"/>
      <c r="BI25" s="189"/>
      <c r="BJ25" s="189"/>
      <c r="BK25" s="189"/>
      <c r="BL25" s="75"/>
      <c r="BM25" s="75"/>
      <c r="BN25" s="189"/>
      <c r="BO25" s="189"/>
      <c r="BP25" s="189"/>
      <c r="BQ25" s="189"/>
      <c r="BR25" s="75"/>
      <c r="BS25" s="75"/>
      <c r="BT25" s="189"/>
      <c r="BU25" s="189"/>
      <c r="BV25" s="189"/>
      <c r="BW25" s="189"/>
      <c r="BX25" s="75"/>
      <c r="BY25" s="75"/>
      <c r="BZ25" s="75"/>
      <c r="CA25" s="75"/>
      <c r="CB25" s="75"/>
      <c r="CC25" s="75"/>
      <c r="CD25" s="75"/>
      <c r="CE25" s="75"/>
      <c r="CF25" s="75"/>
      <c r="CG25" s="75"/>
      <c r="CH25" s="75"/>
      <c r="CI25" s="75"/>
      <c r="CJ25" s="75"/>
      <c r="CK25" s="75"/>
      <c r="CL25" s="75"/>
      <c r="CM25" s="75"/>
      <c r="CN25" s="75"/>
      <c r="CO25" s="75"/>
      <c r="CP25" s="75"/>
      <c r="CQ25" s="75"/>
      <c r="CR25" s="75"/>
      <c r="CS25" s="75"/>
      <c r="CT25" s="53"/>
      <c r="CU25" s="51"/>
      <c r="CV25" s="51"/>
      <c r="CW25" s="51"/>
      <c r="CX25" s="53"/>
      <c r="CY25" s="55"/>
      <c r="CZ25" s="53"/>
      <c r="DA25" s="53"/>
      <c r="DB25" s="53"/>
      <c r="DC25" s="53"/>
      <c r="DD25" s="53"/>
      <c r="DE25" s="56"/>
      <c r="DF25" s="53"/>
      <c r="DG25" s="79"/>
    </row>
    <row r="26" spans="1:111" s="65" customFormat="1" ht="6" customHeight="1" x14ac:dyDescent="0.25">
      <c r="A26" s="51"/>
      <c r="B26" s="8"/>
      <c r="C26" s="8"/>
      <c r="D26" s="143"/>
      <c r="E26" s="143"/>
      <c r="F26" s="143"/>
      <c r="G26" s="143"/>
      <c r="H26" s="119"/>
      <c r="I26" s="119"/>
      <c r="J26" s="75"/>
      <c r="K26" s="75"/>
      <c r="L26" s="75"/>
      <c r="M26" s="75"/>
      <c r="N26" s="75"/>
      <c r="O26" s="75"/>
      <c r="P26" s="75"/>
      <c r="Q26" s="75"/>
      <c r="R26" s="75"/>
      <c r="S26" s="75"/>
      <c r="T26" s="75"/>
      <c r="U26" s="75"/>
      <c r="V26" s="75"/>
      <c r="W26" s="75"/>
      <c r="X26" s="75"/>
      <c r="Y26" s="75"/>
      <c r="Z26" s="75"/>
      <c r="AA26" s="75"/>
      <c r="AB26" s="75"/>
      <c r="AC26" s="75"/>
      <c r="AD26" s="189"/>
      <c r="AE26" s="189"/>
      <c r="AF26" s="189"/>
      <c r="AG26" s="189"/>
      <c r="AH26" s="75"/>
      <c r="AI26" s="75"/>
      <c r="AJ26" s="189"/>
      <c r="AK26" s="189"/>
      <c r="AL26" s="189"/>
      <c r="AM26" s="189"/>
      <c r="AN26" s="75"/>
      <c r="AO26" s="75"/>
      <c r="AP26" s="189"/>
      <c r="AQ26" s="189"/>
      <c r="AR26" s="189"/>
      <c r="AS26" s="189"/>
      <c r="AT26" s="75"/>
      <c r="AU26" s="75"/>
      <c r="AV26" s="189"/>
      <c r="AW26" s="189"/>
      <c r="AX26" s="189"/>
      <c r="AY26" s="189"/>
      <c r="AZ26" s="75"/>
      <c r="BA26" s="75"/>
      <c r="BB26" s="189"/>
      <c r="BC26" s="189"/>
      <c r="BD26" s="189"/>
      <c r="BE26" s="189"/>
      <c r="BF26" s="75"/>
      <c r="BG26" s="75"/>
      <c r="BH26" s="189"/>
      <c r="BI26" s="189"/>
      <c r="BJ26" s="189"/>
      <c r="BK26" s="189"/>
      <c r="BL26" s="75"/>
      <c r="BM26" s="75"/>
      <c r="BN26" s="189"/>
      <c r="BO26" s="189"/>
      <c r="BP26" s="189"/>
      <c r="BQ26" s="189"/>
      <c r="BR26" s="75"/>
      <c r="BS26" s="75"/>
      <c r="BT26" s="189"/>
      <c r="BU26" s="189"/>
      <c r="BV26" s="189"/>
      <c r="BW26" s="189"/>
      <c r="BX26" s="75"/>
      <c r="BY26" s="75"/>
      <c r="BZ26" s="75"/>
      <c r="CA26" s="75"/>
      <c r="CB26" s="75"/>
      <c r="CC26" s="75"/>
      <c r="CD26" s="75"/>
      <c r="CE26" s="75"/>
      <c r="CF26" s="75"/>
      <c r="CG26" s="75"/>
      <c r="CH26" s="75"/>
      <c r="CI26" s="75"/>
      <c r="CJ26" s="75"/>
      <c r="CK26" s="75"/>
      <c r="CL26" s="75"/>
      <c r="CM26" s="75"/>
      <c r="CN26" s="75"/>
      <c r="CO26" s="75"/>
      <c r="CP26" s="75"/>
      <c r="CQ26" s="75"/>
      <c r="CR26" s="75"/>
      <c r="CS26" s="75"/>
      <c r="CT26" s="53"/>
      <c r="CU26" s="51"/>
      <c r="CV26" s="51"/>
      <c r="CW26" s="51"/>
      <c r="CX26" s="53"/>
      <c r="CY26" s="162" t="s">
        <v>4</v>
      </c>
      <c r="CZ26" s="152" t="s">
        <v>45</v>
      </c>
      <c r="DA26" s="152"/>
      <c r="DB26" s="152"/>
      <c r="DC26" s="152"/>
      <c r="DD26" s="152"/>
      <c r="DE26" s="113"/>
      <c r="DF26" s="53"/>
      <c r="DG26" s="79"/>
    </row>
    <row r="27" spans="1:111" s="65" customFormat="1" ht="6" customHeight="1" x14ac:dyDescent="0.25">
      <c r="A27" s="51"/>
      <c r="B27" s="8"/>
      <c r="C27" s="8"/>
      <c r="D27" s="144"/>
      <c r="E27" s="144"/>
      <c r="F27" s="144"/>
      <c r="G27" s="144"/>
      <c r="H27" s="119"/>
      <c r="I27" s="119"/>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75"/>
      <c r="CF27" s="75"/>
      <c r="CG27" s="75"/>
      <c r="CH27" s="75"/>
      <c r="CI27" s="75"/>
      <c r="CJ27" s="75"/>
      <c r="CK27" s="75"/>
      <c r="CL27" s="75"/>
      <c r="CM27" s="75"/>
      <c r="CN27" s="75"/>
      <c r="CO27" s="75"/>
      <c r="CP27" s="75"/>
      <c r="CQ27" s="75"/>
      <c r="CR27" s="75"/>
      <c r="CS27" s="75"/>
      <c r="CT27" s="53"/>
      <c r="CU27" s="51"/>
      <c r="CV27" s="51"/>
      <c r="CW27" s="51"/>
      <c r="CX27" s="53"/>
      <c r="CY27" s="162"/>
      <c r="CZ27" s="152"/>
      <c r="DA27" s="152"/>
      <c r="DB27" s="152"/>
      <c r="DC27" s="152"/>
      <c r="DD27" s="152"/>
      <c r="DE27" s="113"/>
      <c r="DF27" s="53"/>
      <c r="DG27" s="79"/>
    </row>
    <row r="28" spans="1:111" s="65" customFormat="1" ht="6" customHeight="1" x14ac:dyDescent="0.25">
      <c r="A28" s="51"/>
      <c r="B28" s="8"/>
      <c r="C28" s="8"/>
      <c r="D28" s="93"/>
      <c r="E28" s="93"/>
      <c r="F28" s="93"/>
      <c r="G28" s="93"/>
      <c r="H28" s="119"/>
      <c r="I28" s="119"/>
      <c r="J28" s="75"/>
      <c r="K28" s="75"/>
      <c r="L28" s="75"/>
      <c r="M28" s="75"/>
      <c r="N28" s="75"/>
      <c r="O28" s="75"/>
      <c r="P28" s="75"/>
      <c r="Q28" s="75"/>
      <c r="R28" s="75"/>
      <c r="S28" s="75"/>
      <c r="T28" s="75"/>
      <c r="U28" s="75"/>
      <c r="V28" s="75"/>
      <c r="W28" s="75"/>
      <c r="X28" s="75"/>
      <c r="Y28" s="75"/>
      <c r="Z28" s="75"/>
      <c r="AA28" s="189"/>
      <c r="AB28" s="189"/>
      <c r="AC28" s="189"/>
      <c r="AD28" s="189"/>
      <c r="AE28" s="75"/>
      <c r="AF28" s="75"/>
      <c r="AG28" s="189"/>
      <c r="AH28" s="189"/>
      <c r="AI28" s="189"/>
      <c r="AJ28" s="189"/>
      <c r="AK28" s="75"/>
      <c r="AL28" s="75"/>
      <c r="AM28" s="189"/>
      <c r="AN28" s="189"/>
      <c r="AO28" s="189"/>
      <c r="AP28" s="189"/>
      <c r="AQ28" s="75"/>
      <c r="AR28" s="75"/>
      <c r="AS28" s="189"/>
      <c r="AT28" s="189"/>
      <c r="AU28" s="189"/>
      <c r="AV28" s="189"/>
      <c r="AW28" s="75"/>
      <c r="AX28" s="75"/>
      <c r="AY28" s="189"/>
      <c r="AZ28" s="189"/>
      <c r="BA28" s="189"/>
      <c r="BB28" s="189"/>
      <c r="BC28" s="75"/>
      <c r="BD28" s="75"/>
      <c r="BE28" s="189"/>
      <c r="BF28" s="189"/>
      <c r="BG28" s="189"/>
      <c r="BH28" s="189"/>
      <c r="BI28" s="75"/>
      <c r="BJ28" s="75"/>
      <c r="BK28" s="189"/>
      <c r="BL28" s="189"/>
      <c r="BM28" s="189"/>
      <c r="BN28" s="189"/>
      <c r="BO28" s="75"/>
      <c r="BP28" s="75"/>
      <c r="BQ28" s="189"/>
      <c r="BR28" s="189"/>
      <c r="BS28" s="189"/>
      <c r="BT28" s="189"/>
      <c r="BU28" s="75"/>
      <c r="BV28" s="75"/>
      <c r="BW28" s="189"/>
      <c r="BX28" s="189"/>
      <c r="BY28" s="189"/>
      <c r="BZ28" s="189"/>
      <c r="CA28" s="75"/>
      <c r="CB28" s="75"/>
      <c r="CC28" s="75"/>
      <c r="CD28" s="75"/>
      <c r="CE28" s="75"/>
      <c r="CF28" s="75"/>
      <c r="CG28" s="75"/>
      <c r="CH28" s="75"/>
      <c r="CI28" s="75"/>
      <c r="CJ28" s="75"/>
      <c r="CK28" s="75"/>
      <c r="CL28" s="75"/>
      <c r="CM28" s="75"/>
      <c r="CN28" s="75"/>
      <c r="CO28" s="75"/>
      <c r="CP28" s="75"/>
      <c r="CQ28" s="75"/>
      <c r="CR28" s="75"/>
      <c r="CS28" s="75"/>
      <c r="CT28" s="53"/>
      <c r="CU28" s="51"/>
      <c r="CV28" s="51"/>
      <c r="CW28" s="51"/>
      <c r="CX28" s="53"/>
      <c r="CY28" s="61"/>
      <c r="CZ28" s="53"/>
      <c r="DA28" s="53"/>
      <c r="DB28" s="53"/>
      <c r="DC28" s="53"/>
      <c r="DD28" s="53"/>
      <c r="DE28" s="56"/>
      <c r="DF28" s="53"/>
      <c r="DG28" s="79"/>
    </row>
    <row r="29" spans="1:111" s="65" customFormat="1" ht="6" customHeight="1" x14ac:dyDescent="0.25">
      <c r="A29" s="51"/>
      <c r="B29" s="8"/>
      <c r="C29" s="8"/>
      <c r="D29" s="143"/>
      <c r="E29" s="143"/>
      <c r="F29" s="143"/>
      <c r="G29" s="143"/>
      <c r="H29" s="119"/>
      <c r="I29" s="119"/>
      <c r="J29" s="75"/>
      <c r="K29" s="75"/>
      <c r="L29" s="75"/>
      <c r="M29" s="75"/>
      <c r="N29" s="75"/>
      <c r="O29" s="75"/>
      <c r="P29" s="75"/>
      <c r="Q29" s="75"/>
      <c r="R29" s="75"/>
      <c r="S29" s="75"/>
      <c r="T29" s="75"/>
      <c r="U29" s="75"/>
      <c r="V29" s="75"/>
      <c r="W29" s="75"/>
      <c r="X29" s="75"/>
      <c r="Y29" s="75"/>
      <c r="Z29" s="75"/>
      <c r="AA29" s="189"/>
      <c r="AB29" s="189"/>
      <c r="AC29" s="189"/>
      <c r="AD29" s="189"/>
      <c r="AE29" s="75"/>
      <c r="AF29" s="75"/>
      <c r="AG29" s="189"/>
      <c r="AH29" s="189"/>
      <c r="AI29" s="189"/>
      <c r="AJ29" s="189"/>
      <c r="AK29" s="75"/>
      <c r="AL29" s="75"/>
      <c r="AM29" s="189"/>
      <c r="AN29" s="189"/>
      <c r="AO29" s="189"/>
      <c r="AP29" s="189"/>
      <c r="AQ29" s="75"/>
      <c r="AR29" s="75"/>
      <c r="AS29" s="189"/>
      <c r="AT29" s="189"/>
      <c r="AU29" s="189"/>
      <c r="AV29" s="189"/>
      <c r="AW29" s="75"/>
      <c r="AX29" s="75"/>
      <c r="AY29" s="189"/>
      <c r="AZ29" s="189"/>
      <c r="BA29" s="189"/>
      <c r="BB29" s="189"/>
      <c r="BC29" s="75"/>
      <c r="BD29" s="75"/>
      <c r="BE29" s="189"/>
      <c r="BF29" s="189"/>
      <c r="BG29" s="189"/>
      <c r="BH29" s="189"/>
      <c r="BI29" s="75"/>
      <c r="BJ29" s="75"/>
      <c r="BK29" s="189"/>
      <c r="BL29" s="189"/>
      <c r="BM29" s="189"/>
      <c r="BN29" s="189"/>
      <c r="BO29" s="75"/>
      <c r="BP29" s="75"/>
      <c r="BQ29" s="189"/>
      <c r="BR29" s="189"/>
      <c r="BS29" s="189"/>
      <c r="BT29" s="189"/>
      <c r="BU29" s="75"/>
      <c r="BV29" s="75"/>
      <c r="BW29" s="189"/>
      <c r="BX29" s="189"/>
      <c r="BY29" s="189"/>
      <c r="BZ29" s="189"/>
      <c r="CA29" s="75"/>
      <c r="CB29" s="75"/>
      <c r="CC29" s="75"/>
      <c r="CD29" s="75"/>
      <c r="CE29" s="75"/>
      <c r="CF29" s="75"/>
      <c r="CG29" s="75"/>
      <c r="CH29" s="75"/>
      <c r="CI29" s="75"/>
      <c r="CJ29" s="75"/>
      <c r="CK29" s="75"/>
      <c r="CL29" s="75"/>
      <c r="CM29" s="75"/>
      <c r="CN29" s="75"/>
      <c r="CO29" s="75"/>
      <c r="CP29" s="75"/>
      <c r="CQ29" s="75"/>
      <c r="CR29" s="75"/>
      <c r="CS29" s="75"/>
      <c r="CT29" s="53"/>
      <c r="CU29" s="51"/>
      <c r="CV29" s="51"/>
      <c r="CW29" s="51"/>
      <c r="CX29" s="53"/>
      <c r="CY29" s="162" t="s">
        <v>0</v>
      </c>
      <c r="CZ29" s="152" t="s">
        <v>46</v>
      </c>
      <c r="DA29" s="152"/>
      <c r="DB29" s="152"/>
      <c r="DC29" s="152"/>
      <c r="DD29" s="152"/>
      <c r="DE29" s="113"/>
      <c r="DF29" s="53"/>
      <c r="DG29" s="79"/>
    </row>
    <row r="30" spans="1:111" s="65" customFormat="1" ht="6" customHeight="1" x14ac:dyDescent="0.25">
      <c r="A30" s="51"/>
      <c r="B30" s="8"/>
      <c r="C30" s="8"/>
      <c r="D30" s="144"/>
      <c r="E30" s="144"/>
      <c r="F30" s="144"/>
      <c r="G30" s="144"/>
      <c r="H30" s="119"/>
      <c r="I30" s="119"/>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53"/>
      <c r="CU30" s="51"/>
      <c r="CV30" s="51"/>
      <c r="CW30" s="51"/>
      <c r="CX30" s="53"/>
      <c r="CY30" s="162"/>
      <c r="CZ30" s="152"/>
      <c r="DA30" s="152"/>
      <c r="DB30" s="152"/>
      <c r="DC30" s="152"/>
      <c r="DD30" s="152"/>
      <c r="DE30" s="113"/>
      <c r="DF30" s="53"/>
      <c r="DG30" s="79"/>
    </row>
    <row r="31" spans="1:111" s="65" customFormat="1" ht="6" customHeight="1" x14ac:dyDescent="0.25">
      <c r="A31" s="51"/>
      <c r="B31" s="8"/>
      <c r="C31" s="8"/>
      <c r="D31" s="93"/>
      <c r="E31" s="93"/>
      <c r="F31" s="93"/>
      <c r="G31" s="93"/>
      <c r="H31" s="119"/>
      <c r="I31" s="119"/>
      <c r="J31" s="75"/>
      <c r="K31" s="75"/>
      <c r="L31" s="75"/>
      <c r="M31" s="75"/>
      <c r="N31" s="75"/>
      <c r="O31" s="75"/>
      <c r="P31" s="75"/>
      <c r="Q31" s="75"/>
      <c r="R31" s="75"/>
      <c r="S31" s="75"/>
      <c r="T31" s="75"/>
      <c r="U31" s="75"/>
      <c r="V31" s="75"/>
      <c r="W31" s="75"/>
      <c r="X31" s="189"/>
      <c r="Y31" s="189"/>
      <c r="Z31" s="189"/>
      <c r="AA31" s="189"/>
      <c r="AB31" s="75"/>
      <c r="AC31" s="75"/>
      <c r="AD31" s="189"/>
      <c r="AE31" s="189"/>
      <c r="AF31" s="189"/>
      <c r="AG31" s="189"/>
      <c r="AH31" s="75"/>
      <c r="AI31" s="75"/>
      <c r="AJ31" s="189"/>
      <c r="AK31" s="189"/>
      <c r="AL31" s="189"/>
      <c r="AM31" s="189"/>
      <c r="AN31" s="75"/>
      <c r="AO31" s="75"/>
      <c r="AP31" s="189"/>
      <c r="AQ31" s="189"/>
      <c r="AR31" s="189"/>
      <c r="AS31" s="189"/>
      <c r="AT31" s="75"/>
      <c r="AU31" s="75"/>
      <c r="AV31" s="189"/>
      <c r="AW31" s="189"/>
      <c r="AX31" s="189"/>
      <c r="AY31" s="189"/>
      <c r="AZ31" s="75"/>
      <c r="BA31" s="75"/>
      <c r="BB31" s="189"/>
      <c r="BC31" s="189"/>
      <c r="BD31" s="189"/>
      <c r="BE31" s="189"/>
      <c r="BF31" s="75"/>
      <c r="BG31" s="75"/>
      <c r="BH31" s="189"/>
      <c r="BI31" s="189"/>
      <c r="BJ31" s="189"/>
      <c r="BK31" s="189"/>
      <c r="BL31" s="75"/>
      <c r="BM31" s="75"/>
      <c r="BN31" s="189"/>
      <c r="BO31" s="189"/>
      <c r="BP31" s="189"/>
      <c r="BQ31" s="189"/>
      <c r="BR31" s="75"/>
      <c r="BS31" s="75"/>
      <c r="BT31" s="189"/>
      <c r="BU31" s="189"/>
      <c r="BV31" s="189"/>
      <c r="BW31" s="189"/>
      <c r="BX31" s="75"/>
      <c r="BY31" s="75"/>
      <c r="BZ31" s="189"/>
      <c r="CA31" s="189"/>
      <c r="CB31" s="189"/>
      <c r="CC31" s="189"/>
      <c r="CD31" s="75"/>
      <c r="CE31" s="75"/>
      <c r="CF31" s="75"/>
      <c r="CG31" s="75"/>
      <c r="CH31" s="75"/>
      <c r="CI31" s="75"/>
      <c r="CJ31" s="75"/>
      <c r="CK31" s="75"/>
      <c r="CL31" s="75"/>
      <c r="CM31" s="75"/>
      <c r="CN31" s="75"/>
      <c r="CO31" s="75"/>
      <c r="CP31" s="75"/>
      <c r="CQ31" s="75"/>
      <c r="CR31" s="75"/>
      <c r="CS31" s="75"/>
      <c r="CT31" s="53"/>
      <c r="CU31" s="51"/>
      <c r="CV31" s="51"/>
      <c r="CW31" s="51"/>
      <c r="CX31" s="53"/>
      <c r="CY31" s="61"/>
      <c r="CZ31" s="53"/>
      <c r="DA31" s="53"/>
      <c r="DB31" s="53"/>
      <c r="DC31" s="53"/>
      <c r="DD31" s="53"/>
      <c r="DE31" s="56"/>
      <c r="DF31" s="53"/>
      <c r="DG31" s="79"/>
    </row>
    <row r="32" spans="1:111" s="65" customFormat="1" ht="6" customHeight="1" x14ac:dyDescent="0.25">
      <c r="A32" s="51"/>
      <c r="B32" s="8"/>
      <c r="C32" s="8"/>
      <c r="D32" s="143"/>
      <c r="E32" s="143"/>
      <c r="F32" s="143"/>
      <c r="G32" s="143"/>
      <c r="H32" s="119"/>
      <c r="I32" s="119"/>
      <c r="J32" s="75"/>
      <c r="K32" s="75"/>
      <c r="L32" s="75"/>
      <c r="M32" s="75"/>
      <c r="N32" s="75"/>
      <c r="O32" s="75"/>
      <c r="P32" s="75"/>
      <c r="Q32" s="75"/>
      <c r="R32" s="75"/>
      <c r="S32" s="75"/>
      <c r="T32" s="75"/>
      <c r="U32" s="75"/>
      <c r="V32" s="75"/>
      <c r="W32" s="75"/>
      <c r="X32" s="189"/>
      <c r="Y32" s="189"/>
      <c r="Z32" s="189"/>
      <c r="AA32" s="189"/>
      <c r="AB32" s="75"/>
      <c r="AC32" s="75"/>
      <c r="AD32" s="189"/>
      <c r="AE32" s="189"/>
      <c r="AF32" s="189"/>
      <c r="AG32" s="189"/>
      <c r="AH32" s="75"/>
      <c r="AI32" s="75"/>
      <c r="AJ32" s="189"/>
      <c r="AK32" s="189"/>
      <c r="AL32" s="189"/>
      <c r="AM32" s="189"/>
      <c r="AN32" s="75"/>
      <c r="AO32" s="75"/>
      <c r="AP32" s="189"/>
      <c r="AQ32" s="189"/>
      <c r="AR32" s="189"/>
      <c r="AS32" s="189"/>
      <c r="AT32" s="75"/>
      <c r="AU32" s="75"/>
      <c r="AV32" s="189"/>
      <c r="AW32" s="189"/>
      <c r="AX32" s="189"/>
      <c r="AY32" s="189"/>
      <c r="AZ32" s="75"/>
      <c r="BA32" s="75"/>
      <c r="BB32" s="189"/>
      <c r="BC32" s="189"/>
      <c r="BD32" s="189"/>
      <c r="BE32" s="189"/>
      <c r="BF32" s="75"/>
      <c r="BG32" s="75"/>
      <c r="BH32" s="189"/>
      <c r="BI32" s="189"/>
      <c r="BJ32" s="189"/>
      <c r="BK32" s="189"/>
      <c r="BL32" s="75"/>
      <c r="BM32" s="75"/>
      <c r="BN32" s="189"/>
      <c r="BO32" s="189"/>
      <c r="BP32" s="189"/>
      <c r="BQ32" s="189"/>
      <c r="BR32" s="75"/>
      <c r="BS32" s="75"/>
      <c r="BT32" s="189"/>
      <c r="BU32" s="189"/>
      <c r="BV32" s="189"/>
      <c r="BW32" s="189"/>
      <c r="BX32" s="75"/>
      <c r="BY32" s="75"/>
      <c r="BZ32" s="189"/>
      <c r="CA32" s="189"/>
      <c r="CB32" s="189"/>
      <c r="CC32" s="189"/>
      <c r="CD32" s="75"/>
      <c r="CE32" s="75"/>
      <c r="CF32" s="75"/>
      <c r="CG32" s="75"/>
      <c r="CH32" s="75"/>
      <c r="CI32" s="75"/>
      <c r="CJ32" s="75"/>
      <c r="CK32" s="75"/>
      <c r="CL32" s="75"/>
      <c r="CM32" s="75"/>
      <c r="CN32" s="75"/>
      <c r="CO32" s="75"/>
      <c r="CP32" s="75"/>
      <c r="CQ32" s="75"/>
      <c r="CR32" s="75"/>
      <c r="CS32" s="75"/>
      <c r="CT32" s="53"/>
      <c r="CU32" s="51"/>
      <c r="CV32" s="51"/>
      <c r="CW32" s="51"/>
      <c r="CX32" s="53"/>
      <c r="CY32" s="162" t="s">
        <v>5</v>
      </c>
      <c r="CZ32" s="152" t="s">
        <v>47</v>
      </c>
      <c r="DA32" s="152"/>
      <c r="DB32" s="152"/>
      <c r="DC32" s="152"/>
      <c r="DD32" s="152"/>
      <c r="DE32" s="113"/>
      <c r="DF32" s="53"/>
      <c r="DG32" s="79"/>
    </row>
    <row r="33" spans="1:111" s="65" customFormat="1" ht="6" customHeight="1" x14ac:dyDescent="0.25">
      <c r="A33" s="51"/>
      <c r="B33" s="8"/>
      <c r="C33" s="8"/>
      <c r="D33" s="144"/>
      <c r="E33" s="144"/>
      <c r="F33" s="144"/>
      <c r="G33" s="144"/>
      <c r="H33" s="119"/>
      <c r="I33" s="119"/>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53"/>
      <c r="CU33" s="51"/>
      <c r="CV33" s="51"/>
      <c r="CW33" s="51"/>
      <c r="CX33" s="53"/>
      <c r="CY33" s="162"/>
      <c r="CZ33" s="152"/>
      <c r="DA33" s="152"/>
      <c r="DB33" s="152"/>
      <c r="DC33" s="152"/>
      <c r="DD33" s="152"/>
      <c r="DE33" s="113"/>
      <c r="DF33" s="53"/>
      <c r="DG33" s="79"/>
    </row>
    <row r="34" spans="1:111" s="65" customFormat="1" ht="6" customHeight="1" x14ac:dyDescent="0.25">
      <c r="A34" s="51"/>
      <c r="B34" s="8"/>
      <c r="C34" s="8"/>
      <c r="D34" s="52"/>
      <c r="E34" s="52"/>
      <c r="F34" s="51"/>
      <c r="G34" s="51"/>
      <c r="H34" s="119"/>
      <c r="I34" s="119"/>
      <c r="J34" s="75"/>
      <c r="K34" s="75"/>
      <c r="L34" s="75"/>
      <c r="M34" s="75"/>
      <c r="N34" s="75"/>
      <c r="O34" s="75"/>
      <c r="P34" s="75"/>
      <c r="Q34" s="75"/>
      <c r="R34" s="75"/>
      <c r="S34" s="75"/>
      <c r="T34" s="75"/>
      <c r="U34" s="189"/>
      <c r="V34" s="189"/>
      <c r="W34" s="189"/>
      <c r="X34" s="189"/>
      <c r="Y34" s="75"/>
      <c r="Z34" s="75"/>
      <c r="AA34" s="189"/>
      <c r="AB34" s="189"/>
      <c r="AC34" s="189"/>
      <c r="AD34" s="189"/>
      <c r="AE34" s="75"/>
      <c r="AF34" s="75"/>
      <c r="AG34" s="189"/>
      <c r="AH34" s="189"/>
      <c r="AI34" s="189"/>
      <c r="AJ34" s="189"/>
      <c r="AK34" s="75"/>
      <c r="AL34" s="75"/>
      <c r="AM34" s="189"/>
      <c r="AN34" s="189"/>
      <c r="AO34" s="189"/>
      <c r="AP34" s="189"/>
      <c r="AQ34" s="75"/>
      <c r="AR34" s="75"/>
      <c r="AS34" s="189"/>
      <c r="AT34" s="189"/>
      <c r="AU34" s="189"/>
      <c r="AV34" s="189"/>
      <c r="AW34" s="75"/>
      <c r="AX34" s="75"/>
      <c r="AY34" s="189"/>
      <c r="AZ34" s="189"/>
      <c r="BA34" s="189"/>
      <c r="BB34" s="189"/>
      <c r="BC34" s="75"/>
      <c r="BD34" s="75"/>
      <c r="BE34" s="189"/>
      <c r="BF34" s="189"/>
      <c r="BG34" s="189"/>
      <c r="BH34" s="189"/>
      <c r="BI34" s="75"/>
      <c r="BJ34" s="75"/>
      <c r="BK34" s="189"/>
      <c r="BL34" s="189"/>
      <c r="BM34" s="189"/>
      <c r="BN34" s="189"/>
      <c r="BO34" s="75"/>
      <c r="BP34" s="75"/>
      <c r="BQ34" s="189"/>
      <c r="BR34" s="189"/>
      <c r="BS34" s="189"/>
      <c r="BT34" s="189"/>
      <c r="BU34" s="75"/>
      <c r="BV34" s="75"/>
      <c r="BW34" s="189"/>
      <c r="BX34" s="189"/>
      <c r="BY34" s="189"/>
      <c r="BZ34" s="189"/>
      <c r="CA34" s="75"/>
      <c r="CB34" s="75"/>
      <c r="CC34" s="189"/>
      <c r="CD34" s="189"/>
      <c r="CE34" s="189"/>
      <c r="CF34" s="189"/>
      <c r="CG34" s="75"/>
      <c r="CH34" s="75"/>
      <c r="CI34" s="75"/>
      <c r="CJ34" s="75"/>
      <c r="CK34" s="75"/>
      <c r="CL34" s="75"/>
      <c r="CM34" s="75"/>
      <c r="CN34" s="75"/>
      <c r="CO34" s="75"/>
      <c r="CP34" s="75"/>
      <c r="CQ34" s="75"/>
      <c r="CR34" s="75"/>
      <c r="CS34" s="75"/>
      <c r="CT34" s="53"/>
      <c r="CU34" s="51"/>
      <c r="CV34" s="51"/>
      <c r="CW34" s="51"/>
      <c r="CX34" s="53"/>
      <c r="CY34" s="62"/>
      <c r="CZ34" s="63"/>
      <c r="DA34" s="63"/>
      <c r="DB34" s="63"/>
      <c r="DC34" s="63"/>
      <c r="DD34" s="63"/>
      <c r="DE34" s="64"/>
      <c r="DF34" s="53"/>
      <c r="DG34" s="79"/>
    </row>
    <row r="35" spans="1:111" s="65" customFormat="1" ht="6" customHeight="1" x14ac:dyDescent="0.25">
      <c r="A35" s="51"/>
      <c r="B35" s="8"/>
      <c r="C35" s="8"/>
      <c r="D35" s="52"/>
      <c r="E35" s="52"/>
      <c r="F35" s="51"/>
      <c r="G35" s="51"/>
      <c r="H35" s="119"/>
      <c r="I35" s="119"/>
      <c r="J35" s="75"/>
      <c r="K35" s="75"/>
      <c r="L35" s="75"/>
      <c r="M35" s="75"/>
      <c r="N35" s="75"/>
      <c r="O35" s="75"/>
      <c r="P35" s="75"/>
      <c r="Q35" s="75"/>
      <c r="R35" s="75"/>
      <c r="S35" s="75"/>
      <c r="T35" s="75"/>
      <c r="U35" s="189"/>
      <c r="V35" s="189"/>
      <c r="W35" s="189"/>
      <c r="X35" s="189"/>
      <c r="Y35" s="75"/>
      <c r="Z35" s="75"/>
      <c r="AA35" s="189"/>
      <c r="AB35" s="189"/>
      <c r="AC35" s="189"/>
      <c r="AD35" s="189"/>
      <c r="AE35" s="75"/>
      <c r="AF35" s="75"/>
      <c r="AG35" s="189"/>
      <c r="AH35" s="189"/>
      <c r="AI35" s="189"/>
      <c r="AJ35" s="189"/>
      <c r="AK35" s="75"/>
      <c r="AL35" s="75"/>
      <c r="AM35" s="189"/>
      <c r="AN35" s="189"/>
      <c r="AO35" s="189"/>
      <c r="AP35" s="189"/>
      <c r="AQ35" s="75"/>
      <c r="AR35" s="75"/>
      <c r="AS35" s="189"/>
      <c r="AT35" s="189"/>
      <c r="AU35" s="189"/>
      <c r="AV35" s="189"/>
      <c r="AW35" s="75"/>
      <c r="AX35" s="75"/>
      <c r="AY35" s="189"/>
      <c r="AZ35" s="189"/>
      <c r="BA35" s="189"/>
      <c r="BB35" s="189"/>
      <c r="BC35" s="75"/>
      <c r="BD35" s="75"/>
      <c r="BE35" s="189"/>
      <c r="BF35" s="189"/>
      <c r="BG35" s="189"/>
      <c r="BH35" s="189"/>
      <c r="BI35" s="75"/>
      <c r="BJ35" s="75"/>
      <c r="BK35" s="189"/>
      <c r="BL35" s="189"/>
      <c r="BM35" s="189"/>
      <c r="BN35" s="189"/>
      <c r="BO35" s="75"/>
      <c r="BP35" s="75"/>
      <c r="BQ35" s="189"/>
      <c r="BR35" s="189"/>
      <c r="BS35" s="189"/>
      <c r="BT35" s="189"/>
      <c r="BU35" s="75"/>
      <c r="BV35" s="75"/>
      <c r="BW35" s="189"/>
      <c r="BX35" s="189"/>
      <c r="BY35" s="189"/>
      <c r="BZ35" s="189"/>
      <c r="CA35" s="75"/>
      <c r="CB35" s="75"/>
      <c r="CC35" s="189"/>
      <c r="CD35" s="189"/>
      <c r="CE35" s="189"/>
      <c r="CF35" s="189"/>
      <c r="CG35" s="75"/>
      <c r="CH35" s="75"/>
      <c r="CI35" s="75"/>
      <c r="CJ35" s="75"/>
      <c r="CK35" s="75"/>
      <c r="CL35" s="75"/>
      <c r="CM35" s="75"/>
      <c r="CN35" s="75"/>
      <c r="CO35" s="75"/>
      <c r="CP35" s="75"/>
      <c r="CQ35" s="75"/>
      <c r="CR35" s="75"/>
      <c r="CS35" s="75"/>
      <c r="CT35" s="53"/>
      <c r="CU35" s="51"/>
      <c r="CV35" s="51"/>
      <c r="CW35" s="51"/>
      <c r="CX35" s="53"/>
      <c r="CY35" s="51"/>
      <c r="CZ35" s="51"/>
      <c r="DA35" s="51"/>
      <c r="DB35" s="51"/>
      <c r="DC35" s="51"/>
      <c r="DD35" s="51"/>
      <c r="DE35" s="53"/>
      <c r="DF35" s="53"/>
      <c r="DG35" s="79"/>
    </row>
    <row r="36" spans="1:111" s="65" customFormat="1" ht="6" customHeight="1" x14ac:dyDescent="0.25">
      <c r="A36" s="51"/>
      <c r="B36" s="90"/>
      <c r="C36" s="94"/>
      <c r="D36" s="52"/>
      <c r="E36" s="52"/>
      <c r="F36" s="51"/>
      <c r="G36" s="51"/>
      <c r="H36" s="119"/>
      <c r="I36" s="119"/>
      <c r="J36" s="75"/>
      <c r="K36" s="75"/>
      <c r="L36" s="75"/>
      <c r="M36" s="75"/>
      <c r="N36" s="75"/>
      <c r="O36" s="75"/>
      <c r="P36" s="75"/>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53"/>
      <c r="CU36" s="51"/>
      <c r="CV36" s="51"/>
      <c r="CW36" s="51"/>
      <c r="CX36" s="53"/>
      <c r="CY36" s="51"/>
      <c r="CZ36" s="51"/>
      <c r="DA36" s="51"/>
      <c r="DB36" s="51"/>
      <c r="DC36" s="51"/>
      <c r="DD36" s="51"/>
      <c r="DE36" s="53"/>
      <c r="DF36" s="53"/>
      <c r="DG36" s="79"/>
    </row>
    <row r="37" spans="1:111" s="65" customFormat="1" ht="6" customHeight="1" x14ac:dyDescent="0.25">
      <c r="A37" s="51"/>
      <c r="B37" s="90"/>
      <c r="C37" s="94"/>
      <c r="D37" s="52"/>
      <c r="E37" s="52"/>
      <c r="F37" s="51"/>
      <c r="G37" s="51"/>
      <c r="H37" s="119"/>
      <c r="I37" s="119"/>
      <c r="J37" s="75"/>
      <c r="K37" s="75"/>
      <c r="L37" s="75"/>
      <c r="M37" s="75"/>
      <c r="N37" s="75"/>
      <c r="O37" s="75"/>
      <c r="P37" s="75"/>
      <c r="Q37" s="75"/>
      <c r="R37" s="189"/>
      <c r="S37" s="189"/>
      <c r="T37" s="189"/>
      <c r="U37" s="189"/>
      <c r="V37" s="75"/>
      <c r="W37" s="75"/>
      <c r="X37" s="189"/>
      <c r="Y37" s="189"/>
      <c r="Z37" s="189"/>
      <c r="AA37" s="189"/>
      <c r="AB37" s="75"/>
      <c r="AC37" s="75"/>
      <c r="AD37" s="189"/>
      <c r="AE37" s="189"/>
      <c r="AF37" s="189"/>
      <c r="AG37" s="189"/>
      <c r="AH37" s="75"/>
      <c r="AI37" s="75"/>
      <c r="AJ37" s="189"/>
      <c r="AK37" s="189"/>
      <c r="AL37" s="189"/>
      <c r="AM37" s="189"/>
      <c r="AN37" s="75"/>
      <c r="AO37" s="75"/>
      <c r="AP37" s="189"/>
      <c r="AQ37" s="189"/>
      <c r="AR37" s="189"/>
      <c r="AS37" s="189"/>
      <c r="AT37" s="75"/>
      <c r="AU37" s="75"/>
      <c r="AV37" s="189"/>
      <c r="AW37" s="189"/>
      <c r="AX37" s="189"/>
      <c r="AY37" s="189"/>
      <c r="AZ37" s="75"/>
      <c r="BA37" s="75"/>
      <c r="BB37" s="189"/>
      <c r="BC37" s="189"/>
      <c r="BD37" s="189"/>
      <c r="BE37" s="189"/>
      <c r="BF37" s="75"/>
      <c r="BG37" s="75"/>
      <c r="BH37" s="189"/>
      <c r="BI37" s="189"/>
      <c r="BJ37" s="189"/>
      <c r="BK37" s="189"/>
      <c r="BL37" s="75"/>
      <c r="BM37" s="75"/>
      <c r="BN37" s="189"/>
      <c r="BO37" s="189"/>
      <c r="BP37" s="189"/>
      <c r="BQ37" s="189"/>
      <c r="BR37" s="75"/>
      <c r="BS37" s="75"/>
      <c r="BT37" s="189"/>
      <c r="BU37" s="189"/>
      <c r="BV37" s="189"/>
      <c r="BW37" s="189"/>
      <c r="BX37" s="75"/>
      <c r="BY37" s="75"/>
      <c r="BZ37" s="189"/>
      <c r="CA37" s="189"/>
      <c r="CB37" s="189"/>
      <c r="CC37" s="189"/>
      <c r="CD37" s="75"/>
      <c r="CE37" s="75"/>
      <c r="CF37" s="189"/>
      <c r="CG37" s="189"/>
      <c r="CH37" s="189"/>
      <c r="CI37" s="189"/>
      <c r="CJ37" s="75"/>
      <c r="CK37" s="75"/>
      <c r="CL37" s="75"/>
      <c r="CM37" s="75"/>
      <c r="CN37" s="75"/>
      <c r="CO37" s="75"/>
      <c r="CP37" s="75"/>
      <c r="CQ37" s="75"/>
      <c r="CR37" s="75"/>
      <c r="CS37" s="75"/>
      <c r="CT37" s="53"/>
      <c r="CU37" s="51"/>
      <c r="CV37" s="51"/>
      <c r="CW37" s="51"/>
      <c r="CX37" s="53"/>
      <c r="CY37" s="51"/>
      <c r="CZ37" s="51"/>
      <c r="DA37" s="51"/>
      <c r="DB37" s="51"/>
      <c r="DC37" s="51"/>
      <c r="DD37" s="51"/>
      <c r="DE37" s="51"/>
      <c r="DF37" s="53"/>
      <c r="DG37" s="79"/>
    </row>
    <row r="38" spans="1:111" s="65" customFormat="1" ht="6" customHeight="1" x14ac:dyDescent="0.25">
      <c r="A38" s="51"/>
      <c r="B38" s="90"/>
      <c r="C38" s="94"/>
      <c r="D38" s="52"/>
      <c r="E38" s="52"/>
      <c r="F38" s="51"/>
      <c r="G38" s="51"/>
      <c r="H38" s="119"/>
      <c r="I38" s="119"/>
      <c r="J38" s="75"/>
      <c r="K38" s="75"/>
      <c r="L38" s="75"/>
      <c r="M38" s="75"/>
      <c r="N38" s="75"/>
      <c r="O38" s="75"/>
      <c r="P38" s="75"/>
      <c r="Q38" s="75"/>
      <c r="R38" s="189"/>
      <c r="S38" s="189"/>
      <c r="T38" s="189"/>
      <c r="U38" s="189"/>
      <c r="V38" s="75"/>
      <c r="W38" s="75"/>
      <c r="X38" s="189"/>
      <c r="Y38" s="189"/>
      <c r="Z38" s="189"/>
      <c r="AA38" s="189"/>
      <c r="AB38" s="75"/>
      <c r="AC38" s="75"/>
      <c r="AD38" s="189"/>
      <c r="AE38" s="189"/>
      <c r="AF38" s="189"/>
      <c r="AG38" s="189"/>
      <c r="AH38" s="75"/>
      <c r="AI38" s="75"/>
      <c r="AJ38" s="189"/>
      <c r="AK38" s="189"/>
      <c r="AL38" s="189"/>
      <c r="AM38" s="189"/>
      <c r="AN38" s="75"/>
      <c r="AO38" s="75"/>
      <c r="AP38" s="189"/>
      <c r="AQ38" s="189"/>
      <c r="AR38" s="189"/>
      <c r="AS38" s="189"/>
      <c r="AT38" s="75"/>
      <c r="AU38" s="75"/>
      <c r="AV38" s="189"/>
      <c r="AW38" s="189"/>
      <c r="AX38" s="189"/>
      <c r="AY38" s="189"/>
      <c r="AZ38" s="75"/>
      <c r="BA38" s="75"/>
      <c r="BB38" s="189"/>
      <c r="BC38" s="189"/>
      <c r="BD38" s="189"/>
      <c r="BE38" s="189"/>
      <c r="BF38" s="75"/>
      <c r="BG38" s="75"/>
      <c r="BH38" s="189"/>
      <c r="BI38" s="189"/>
      <c r="BJ38" s="189"/>
      <c r="BK38" s="189"/>
      <c r="BL38" s="75"/>
      <c r="BM38" s="75"/>
      <c r="BN38" s="189"/>
      <c r="BO38" s="189"/>
      <c r="BP38" s="189"/>
      <c r="BQ38" s="189"/>
      <c r="BR38" s="75"/>
      <c r="BS38" s="75"/>
      <c r="BT38" s="189"/>
      <c r="BU38" s="189"/>
      <c r="BV38" s="189"/>
      <c r="BW38" s="189"/>
      <c r="BX38" s="124"/>
      <c r="BY38" s="75"/>
      <c r="BZ38" s="189"/>
      <c r="CA38" s="189"/>
      <c r="CB38" s="189"/>
      <c r="CC38" s="189"/>
      <c r="CD38" s="75"/>
      <c r="CE38" s="75"/>
      <c r="CF38" s="189"/>
      <c r="CG38" s="189"/>
      <c r="CH38" s="189"/>
      <c r="CI38" s="189"/>
      <c r="CJ38" s="75"/>
      <c r="CK38" s="75"/>
      <c r="CL38" s="75"/>
      <c r="CM38" s="75"/>
      <c r="CN38" s="75"/>
      <c r="CO38" s="75"/>
      <c r="CP38" s="75"/>
      <c r="CQ38" s="75"/>
      <c r="CR38" s="75"/>
      <c r="CS38" s="75"/>
      <c r="CT38" s="53"/>
      <c r="CU38" s="51"/>
      <c r="CV38" s="51"/>
      <c r="CW38" s="53"/>
      <c r="CX38" s="51"/>
      <c r="CY38" s="51"/>
      <c r="CZ38" s="51"/>
      <c r="DA38" s="51"/>
      <c r="DB38" s="51"/>
      <c r="DC38" s="51"/>
      <c r="DD38" s="51"/>
      <c r="DE38" s="51"/>
      <c r="DF38" s="51"/>
      <c r="DG38" s="79"/>
    </row>
    <row r="39" spans="1:111" s="65" customFormat="1" ht="6" customHeight="1" x14ac:dyDescent="0.25">
      <c r="A39" s="51"/>
      <c r="B39" s="90"/>
      <c r="C39" s="94"/>
      <c r="D39" s="52"/>
      <c r="E39" s="52"/>
      <c r="F39" s="51"/>
      <c r="G39" s="51"/>
      <c r="H39" s="119"/>
      <c r="I39" s="119"/>
      <c r="J39" s="75"/>
      <c r="K39" s="75"/>
      <c r="L39" s="75"/>
      <c r="M39" s="75"/>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5"/>
      <c r="CG39" s="75"/>
      <c r="CH39" s="75"/>
      <c r="CI39" s="75"/>
      <c r="CJ39" s="75"/>
      <c r="CK39" s="75"/>
      <c r="CL39" s="75"/>
      <c r="CM39" s="75"/>
      <c r="CN39" s="75"/>
      <c r="CO39" s="75"/>
      <c r="CP39" s="75"/>
      <c r="CQ39" s="75"/>
      <c r="CR39" s="75"/>
      <c r="CS39" s="75"/>
      <c r="CT39" s="53"/>
      <c r="CU39" s="51"/>
      <c r="CV39" s="51"/>
      <c r="CW39" s="51"/>
      <c r="CX39" s="51"/>
      <c r="CY39" s="51"/>
      <c r="CZ39" s="51"/>
      <c r="DA39" s="51"/>
      <c r="DB39" s="51"/>
      <c r="DC39" s="51"/>
      <c r="DD39" s="51"/>
      <c r="DE39" s="51"/>
      <c r="DF39" s="51"/>
      <c r="DG39" s="79"/>
    </row>
    <row r="40" spans="1:111" s="65" customFormat="1" ht="6" customHeight="1" x14ac:dyDescent="0.25">
      <c r="A40" s="51"/>
      <c r="B40" s="90"/>
      <c r="C40" s="94"/>
      <c r="D40" s="52"/>
      <c r="E40" s="52"/>
      <c r="F40" s="51"/>
      <c r="G40" s="51"/>
      <c r="H40" s="119"/>
      <c r="I40" s="119"/>
      <c r="J40" s="75"/>
      <c r="K40" s="75"/>
      <c r="L40" s="75"/>
      <c r="M40" s="75"/>
      <c r="N40" s="75"/>
      <c r="O40" s="189"/>
      <c r="P40" s="189"/>
      <c r="Q40" s="189"/>
      <c r="R40" s="189"/>
      <c r="S40" s="75"/>
      <c r="T40" s="75"/>
      <c r="U40" s="189"/>
      <c r="V40" s="189"/>
      <c r="W40" s="189"/>
      <c r="X40" s="189"/>
      <c r="Y40" s="75"/>
      <c r="Z40" s="75"/>
      <c r="AA40" s="189"/>
      <c r="AB40" s="189"/>
      <c r="AC40" s="189"/>
      <c r="AD40" s="189"/>
      <c r="AE40" s="75"/>
      <c r="AF40" s="75"/>
      <c r="AG40" s="189"/>
      <c r="AH40" s="189"/>
      <c r="AI40" s="189"/>
      <c r="AJ40" s="189"/>
      <c r="AK40" s="75"/>
      <c r="AL40" s="75"/>
      <c r="AM40" s="189"/>
      <c r="AN40" s="189"/>
      <c r="AO40" s="189"/>
      <c r="AP40" s="189"/>
      <c r="AQ40" s="75"/>
      <c r="AR40" s="75"/>
      <c r="AS40" s="189"/>
      <c r="AT40" s="189"/>
      <c r="AU40" s="189"/>
      <c r="AV40" s="189"/>
      <c r="AW40" s="75"/>
      <c r="AX40" s="75"/>
      <c r="AY40" s="189"/>
      <c r="AZ40" s="189"/>
      <c r="BA40" s="189"/>
      <c r="BB40" s="189"/>
      <c r="BC40" s="75"/>
      <c r="BD40" s="75"/>
      <c r="BE40" s="189"/>
      <c r="BF40" s="189"/>
      <c r="BG40" s="189"/>
      <c r="BH40" s="189"/>
      <c r="BI40" s="75"/>
      <c r="BJ40" s="75"/>
      <c r="BK40" s="189"/>
      <c r="BL40" s="189"/>
      <c r="BM40" s="189"/>
      <c r="BN40" s="189"/>
      <c r="BO40" s="75"/>
      <c r="BP40" s="75"/>
      <c r="BQ40" s="189"/>
      <c r="BR40" s="189"/>
      <c r="BS40" s="189"/>
      <c r="BT40" s="189"/>
      <c r="BU40" s="75"/>
      <c r="BV40" s="75"/>
      <c r="BW40" s="189"/>
      <c r="BX40" s="189"/>
      <c r="BY40" s="189"/>
      <c r="BZ40" s="189"/>
      <c r="CA40" s="75"/>
      <c r="CB40" s="75"/>
      <c r="CC40" s="189"/>
      <c r="CD40" s="189"/>
      <c r="CE40" s="189"/>
      <c r="CF40" s="189"/>
      <c r="CG40" s="75"/>
      <c r="CH40" s="75"/>
      <c r="CI40" s="189"/>
      <c r="CJ40" s="189"/>
      <c r="CK40" s="189"/>
      <c r="CL40" s="189"/>
      <c r="CM40" s="75"/>
      <c r="CN40" s="75"/>
      <c r="CO40" s="75"/>
      <c r="CP40" s="75"/>
      <c r="CQ40" s="75"/>
      <c r="CR40" s="75"/>
      <c r="CS40" s="75"/>
      <c r="CT40" s="53"/>
      <c r="CU40" s="51"/>
      <c r="CV40" s="51"/>
      <c r="CW40" s="51"/>
      <c r="CX40" s="51"/>
      <c r="CY40" s="51"/>
      <c r="CZ40" s="51"/>
      <c r="DA40" s="51"/>
      <c r="DB40" s="51"/>
      <c r="DC40" s="51"/>
      <c r="DD40" s="51"/>
      <c r="DE40" s="51"/>
      <c r="DF40" s="51"/>
      <c r="DG40" s="79"/>
    </row>
    <row r="41" spans="1:111" s="65" customFormat="1" ht="6" customHeight="1" x14ac:dyDescent="0.25">
      <c r="A41" s="51"/>
      <c r="B41" s="90"/>
      <c r="C41" s="94"/>
      <c r="D41" s="52"/>
      <c r="E41" s="52"/>
      <c r="F41" s="51"/>
      <c r="G41" s="51"/>
      <c r="H41" s="119"/>
      <c r="I41" s="75"/>
      <c r="J41" s="75"/>
      <c r="K41" s="75"/>
      <c r="L41" s="75"/>
      <c r="M41" s="75"/>
      <c r="N41" s="75"/>
      <c r="O41" s="189"/>
      <c r="P41" s="189"/>
      <c r="Q41" s="189"/>
      <c r="R41" s="189"/>
      <c r="S41" s="75"/>
      <c r="T41" s="75"/>
      <c r="U41" s="189"/>
      <c r="V41" s="189"/>
      <c r="W41" s="189"/>
      <c r="X41" s="189"/>
      <c r="Y41" s="75"/>
      <c r="Z41" s="75"/>
      <c r="AA41" s="189"/>
      <c r="AB41" s="189"/>
      <c r="AC41" s="189"/>
      <c r="AD41" s="189"/>
      <c r="AE41" s="75"/>
      <c r="AF41" s="75"/>
      <c r="AG41" s="189"/>
      <c r="AH41" s="189"/>
      <c r="AI41" s="189"/>
      <c r="AJ41" s="189"/>
      <c r="AK41" s="75"/>
      <c r="AL41" s="75"/>
      <c r="AM41" s="189"/>
      <c r="AN41" s="189"/>
      <c r="AO41" s="189"/>
      <c r="AP41" s="189"/>
      <c r="AQ41" s="75"/>
      <c r="AR41" s="75"/>
      <c r="AS41" s="189"/>
      <c r="AT41" s="189"/>
      <c r="AU41" s="189"/>
      <c r="AV41" s="189"/>
      <c r="AW41" s="75"/>
      <c r="AX41" s="75"/>
      <c r="AY41" s="189"/>
      <c r="AZ41" s="189"/>
      <c r="BA41" s="189"/>
      <c r="BB41" s="189"/>
      <c r="BC41" s="75"/>
      <c r="BD41" s="75"/>
      <c r="BE41" s="189"/>
      <c r="BF41" s="189"/>
      <c r="BG41" s="189"/>
      <c r="BH41" s="189"/>
      <c r="BI41" s="75"/>
      <c r="BJ41" s="75"/>
      <c r="BK41" s="189"/>
      <c r="BL41" s="189"/>
      <c r="BM41" s="189"/>
      <c r="BN41" s="189"/>
      <c r="BO41" s="75"/>
      <c r="BP41" s="75"/>
      <c r="BQ41" s="189"/>
      <c r="BR41" s="189"/>
      <c r="BS41" s="189"/>
      <c r="BT41" s="189"/>
      <c r="BU41" s="75"/>
      <c r="BV41" s="75"/>
      <c r="BW41" s="189"/>
      <c r="BX41" s="189"/>
      <c r="BY41" s="189"/>
      <c r="BZ41" s="189"/>
      <c r="CA41" s="75"/>
      <c r="CB41" s="75"/>
      <c r="CC41" s="189"/>
      <c r="CD41" s="189"/>
      <c r="CE41" s="189"/>
      <c r="CF41" s="189"/>
      <c r="CG41" s="75"/>
      <c r="CH41" s="75"/>
      <c r="CI41" s="189"/>
      <c r="CJ41" s="189"/>
      <c r="CK41" s="189"/>
      <c r="CL41" s="189"/>
      <c r="CM41" s="75"/>
      <c r="CN41" s="75"/>
      <c r="CO41" s="75"/>
      <c r="CP41" s="75"/>
      <c r="CQ41" s="75"/>
      <c r="CR41" s="75"/>
      <c r="CS41" s="75"/>
      <c r="CT41" s="53"/>
      <c r="CU41" s="51"/>
      <c r="CV41" s="51"/>
      <c r="CW41" s="51"/>
      <c r="CX41" s="51"/>
      <c r="CY41" s="51"/>
      <c r="CZ41" s="51"/>
      <c r="DA41" s="51"/>
      <c r="DB41" s="51"/>
      <c r="DC41" s="51"/>
      <c r="DD41" s="51"/>
      <c r="DE41" s="51"/>
      <c r="DF41" s="51"/>
      <c r="DG41" s="79"/>
    </row>
    <row r="42" spans="1:111" s="65" customFormat="1" ht="6" customHeight="1" x14ac:dyDescent="0.25">
      <c r="A42" s="51"/>
      <c r="B42" s="90"/>
      <c r="C42" s="94"/>
      <c r="D42" s="52"/>
      <c r="E42" s="52"/>
      <c r="F42" s="51"/>
      <c r="G42" s="51"/>
      <c r="H42" s="119"/>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53"/>
      <c r="CU42" s="51"/>
      <c r="CV42" s="51"/>
      <c r="CW42" s="51"/>
      <c r="CX42" s="51"/>
      <c r="CY42" s="51"/>
      <c r="CZ42" s="51"/>
      <c r="DA42" s="51"/>
      <c r="DB42" s="51"/>
      <c r="DC42" s="51"/>
      <c r="DD42" s="51"/>
      <c r="DE42" s="51"/>
      <c r="DF42" s="51"/>
      <c r="DG42" s="79"/>
    </row>
    <row r="43" spans="1:111" s="65" customFormat="1" ht="6" customHeight="1" x14ac:dyDescent="0.25">
      <c r="A43" s="51"/>
      <c r="B43" s="90"/>
      <c r="C43" s="94"/>
      <c r="D43" s="52"/>
      <c r="E43" s="52"/>
      <c r="F43" s="51"/>
      <c r="G43" s="51"/>
      <c r="H43" s="119"/>
      <c r="I43" s="75"/>
      <c r="J43" s="75"/>
      <c r="K43" s="75"/>
      <c r="L43" s="189"/>
      <c r="M43" s="189"/>
      <c r="N43" s="189"/>
      <c r="O43" s="189"/>
      <c r="P43" s="75"/>
      <c r="Q43" s="75"/>
      <c r="R43" s="189"/>
      <c r="S43" s="189"/>
      <c r="T43" s="189"/>
      <c r="U43" s="189"/>
      <c r="V43" s="75"/>
      <c r="W43" s="75"/>
      <c r="X43" s="189"/>
      <c r="Y43" s="189"/>
      <c r="Z43" s="189"/>
      <c r="AA43" s="189"/>
      <c r="AB43" s="75"/>
      <c r="AC43" s="75"/>
      <c r="AD43" s="189"/>
      <c r="AE43" s="189"/>
      <c r="AF43" s="189"/>
      <c r="AG43" s="189"/>
      <c r="AH43" s="75"/>
      <c r="AI43" s="75"/>
      <c r="AJ43" s="189"/>
      <c r="AK43" s="189"/>
      <c r="AL43" s="189"/>
      <c r="AM43" s="189"/>
      <c r="AN43" s="75"/>
      <c r="AO43" s="75"/>
      <c r="AP43" s="189"/>
      <c r="AQ43" s="189"/>
      <c r="AR43" s="189"/>
      <c r="AS43" s="189"/>
      <c r="AT43" s="75"/>
      <c r="AU43" s="75"/>
      <c r="AV43" s="189"/>
      <c r="AW43" s="189"/>
      <c r="AX43" s="189"/>
      <c r="AY43" s="189"/>
      <c r="AZ43" s="75"/>
      <c r="BA43" s="75"/>
      <c r="BB43" s="189"/>
      <c r="BC43" s="189"/>
      <c r="BD43" s="189"/>
      <c r="BE43" s="189"/>
      <c r="BF43" s="75"/>
      <c r="BG43" s="75"/>
      <c r="BH43" s="189"/>
      <c r="BI43" s="189"/>
      <c r="BJ43" s="189"/>
      <c r="BK43" s="189"/>
      <c r="BL43" s="75"/>
      <c r="BM43" s="75"/>
      <c r="BN43" s="189"/>
      <c r="BO43" s="189"/>
      <c r="BP43" s="189"/>
      <c r="BQ43" s="189"/>
      <c r="BR43" s="75"/>
      <c r="BS43" s="75"/>
      <c r="BT43" s="189"/>
      <c r="BU43" s="189"/>
      <c r="BV43" s="189"/>
      <c r="BW43" s="189"/>
      <c r="BX43" s="75"/>
      <c r="BY43" s="75"/>
      <c r="BZ43" s="189"/>
      <c r="CA43" s="189"/>
      <c r="CB43" s="189"/>
      <c r="CC43" s="189"/>
      <c r="CD43" s="75"/>
      <c r="CE43" s="75"/>
      <c r="CF43" s="189"/>
      <c r="CG43" s="189"/>
      <c r="CH43" s="189"/>
      <c r="CI43" s="189"/>
      <c r="CJ43" s="75"/>
      <c r="CK43" s="75"/>
      <c r="CL43" s="189"/>
      <c r="CM43" s="189"/>
      <c r="CN43" s="189"/>
      <c r="CO43" s="189"/>
      <c r="CP43" s="75"/>
      <c r="CQ43" s="75"/>
      <c r="CR43" s="75"/>
      <c r="CS43" s="75"/>
      <c r="CT43" s="53"/>
      <c r="CU43" s="51"/>
      <c r="CV43" s="51"/>
      <c r="CW43" s="51"/>
      <c r="CX43" s="51"/>
      <c r="CY43" s="51"/>
      <c r="CZ43" s="51"/>
      <c r="DA43" s="51"/>
      <c r="DB43" s="51"/>
      <c r="DC43" s="51"/>
      <c r="DD43" s="51"/>
      <c r="DE43" s="51"/>
      <c r="DF43" s="51"/>
      <c r="DG43" s="79"/>
    </row>
    <row r="44" spans="1:111" s="65" customFormat="1" ht="6" customHeight="1" x14ac:dyDescent="0.25">
      <c r="A44" s="51"/>
      <c r="B44" s="51"/>
      <c r="C44" s="51"/>
      <c r="D44" s="52"/>
      <c r="E44" s="52"/>
      <c r="F44" s="51"/>
      <c r="G44" s="51"/>
      <c r="H44" s="75"/>
      <c r="I44" s="75"/>
      <c r="J44" s="75"/>
      <c r="K44" s="75"/>
      <c r="L44" s="189"/>
      <c r="M44" s="189"/>
      <c r="N44" s="189"/>
      <c r="O44" s="189"/>
      <c r="P44" s="75"/>
      <c r="Q44" s="75"/>
      <c r="R44" s="189"/>
      <c r="S44" s="189"/>
      <c r="T44" s="189"/>
      <c r="U44" s="189"/>
      <c r="V44" s="75"/>
      <c r="W44" s="75"/>
      <c r="X44" s="189"/>
      <c r="Y44" s="189"/>
      <c r="Z44" s="189"/>
      <c r="AA44" s="189"/>
      <c r="AB44" s="75"/>
      <c r="AC44" s="75"/>
      <c r="AD44" s="189"/>
      <c r="AE44" s="189"/>
      <c r="AF44" s="189"/>
      <c r="AG44" s="189"/>
      <c r="AH44" s="75"/>
      <c r="AI44" s="75"/>
      <c r="AJ44" s="189"/>
      <c r="AK44" s="189"/>
      <c r="AL44" s="189"/>
      <c r="AM44" s="189"/>
      <c r="AN44" s="75"/>
      <c r="AO44" s="75"/>
      <c r="AP44" s="189"/>
      <c r="AQ44" s="189"/>
      <c r="AR44" s="189"/>
      <c r="AS44" s="189"/>
      <c r="AT44" s="75"/>
      <c r="AU44" s="75"/>
      <c r="AV44" s="189"/>
      <c r="AW44" s="189"/>
      <c r="AX44" s="189"/>
      <c r="AY44" s="189"/>
      <c r="AZ44" s="75"/>
      <c r="BA44" s="75"/>
      <c r="BB44" s="189"/>
      <c r="BC44" s="189"/>
      <c r="BD44" s="189"/>
      <c r="BE44" s="189"/>
      <c r="BF44" s="75"/>
      <c r="BG44" s="75"/>
      <c r="BH44" s="189"/>
      <c r="BI44" s="189"/>
      <c r="BJ44" s="189"/>
      <c r="BK44" s="189"/>
      <c r="BL44" s="75"/>
      <c r="BM44" s="75"/>
      <c r="BN44" s="189"/>
      <c r="BO44" s="189"/>
      <c r="BP44" s="189"/>
      <c r="BQ44" s="189"/>
      <c r="BR44" s="75"/>
      <c r="BS44" s="75"/>
      <c r="BT44" s="189"/>
      <c r="BU44" s="189"/>
      <c r="BV44" s="189"/>
      <c r="BW44" s="189"/>
      <c r="BX44" s="75"/>
      <c r="BY44" s="75"/>
      <c r="BZ44" s="189"/>
      <c r="CA44" s="189"/>
      <c r="CB44" s="189"/>
      <c r="CC44" s="189"/>
      <c r="CD44" s="75"/>
      <c r="CE44" s="75"/>
      <c r="CF44" s="189"/>
      <c r="CG44" s="189"/>
      <c r="CH44" s="189"/>
      <c r="CI44" s="189"/>
      <c r="CJ44" s="75"/>
      <c r="CK44" s="75"/>
      <c r="CL44" s="189"/>
      <c r="CM44" s="189"/>
      <c r="CN44" s="189"/>
      <c r="CO44" s="189"/>
      <c r="CP44" s="75"/>
      <c r="CQ44" s="75"/>
      <c r="CR44" s="75"/>
      <c r="CS44" s="75"/>
      <c r="CT44" s="53"/>
      <c r="CU44" s="51"/>
      <c r="CV44" s="51"/>
      <c r="CW44" s="51"/>
      <c r="CX44" s="51"/>
      <c r="CY44" s="51"/>
      <c r="CZ44" s="51"/>
      <c r="DA44" s="51"/>
      <c r="DB44" s="51"/>
      <c r="DC44" s="51"/>
      <c r="DD44" s="51"/>
      <c r="DE44" s="51"/>
      <c r="DF44" s="51"/>
      <c r="DG44" s="79"/>
    </row>
    <row r="45" spans="1:111" s="65" customFormat="1" ht="6" customHeight="1" x14ac:dyDescent="0.25">
      <c r="A45" s="51"/>
      <c r="B45" s="51"/>
      <c r="C45" s="51"/>
      <c r="D45" s="52"/>
      <c r="E45" s="52"/>
      <c r="F45" s="51"/>
      <c r="G45" s="51"/>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53"/>
      <c r="CU45" s="51"/>
      <c r="CV45" s="51"/>
      <c r="CW45" s="51"/>
      <c r="CX45" s="51"/>
      <c r="CY45" s="51"/>
      <c r="CZ45" s="51"/>
      <c r="DA45" s="51"/>
      <c r="DB45" s="51"/>
      <c r="DC45" s="51"/>
      <c r="DD45" s="51"/>
      <c r="DE45" s="51"/>
      <c r="DF45" s="51"/>
      <c r="DG45" s="79"/>
    </row>
    <row r="46" spans="1:111" s="65" customFormat="1" ht="6" customHeight="1" x14ac:dyDescent="0.25">
      <c r="A46" s="51"/>
      <c r="B46" s="51"/>
      <c r="C46" s="51"/>
      <c r="D46" s="52"/>
      <c r="E46" s="52"/>
      <c r="F46" s="51"/>
      <c r="G46" s="51"/>
      <c r="H46" s="75"/>
      <c r="I46" s="125"/>
      <c r="J46" s="125"/>
      <c r="K46" s="125"/>
      <c r="L46" s="125"/>
      <c r="M46" s="75"/>
      <c r="N46" s="75"/>
      <c r="O46" s="125"/>
      <c r="P46" s="125"/>
      <c r="Q46" s="125"/>
      <c r="R46" s="125"/>
      <c r="S46" s="75"/>
      <c r="T46" s="75"/>
      <c r="U46" s="125"/>
      <c r="V46" s="125"/>
      <c r="W46" s="125"/>
      <c r="X46" s="125"/>
      <c r="Y46" s="75"/>
      <c r="Z46" s="75"/>
      <c r="AA46" s="125"/>
      <c r="AB46" s="125"/>
      <c r="AC46" s="125"/>
      <c r="AD46" s="125"/>
      <c r="AE46" s="75"/>
      <c r="AF46" s="75"/>
      <c r="AG46" s="125"/>
      <c r="AH46" s="125"/>
      <c r="AI46" s="125"/>
      <c r="AJ46" s="125"/>
      <c r="AK46" s="75"/>
      <c r="AL46" s="75"/>
      <c r="AM46" s="125"/>
      <c r="AN46" s="125"/>
      <c r="AO46" s="125"/>
      <c r="AP46" s="125"/>
      <c r="AQ46" s="75"/>
      <c r="AR46" s="75"/>
      <c r="AS46" s="125"/>
      <c r="AT46" s="125"/>
      <c r="AU46" s="125"/>
      <c r="AV46" s="125"/>
      <c r="AW46" s="75"/>
      <c r="AX46" s="75"/>
      <c r="AY46" s="125"/>
      <c r="AZ46" s="125"/>
      <c r="BA46" s="125"/>
      <c r="BB46" s="125"/>
      <c r="BC46" s="75"/>
      <c r="BD46" s="75"/>
      <c r="BE46" s="125"/>
      <c r="BF46" s="125"/>
      <c r="BG46" s="125"/>
      <c r="BH46" s="125"/>
      <c r="BI46" s="75"/>
      <c r="BJ46" s="75"/>
      <c r="BK46" s="125"/>
      <c r="BL46" s="125"/>
      <c r="BM46" s="125"/>
      <c r="BN46" s="125"/>
      <c r="BO46" s="75"/>
      <c r="BP46" s="75"/>
      <c r="BQ46" s="125"/>
      <c r="BR46" s="125"/>
      <c r="BS46" s="125"/>
      <c r="BT46" s="125"/>
      <c r="BU46" s="75"/>
      <c r="BV46" s="75"/>
      <c r="BW46" s="125"/>
      <c r="BX46" s="125"/>
      <c r="BY46" s="125"/>
      <c r="BZ46" s="125"/>
      <c r="CA46" s="75"/>
      <c r="CB46" s="75"/>
      <c r="CC46" s="125"/>
      <c r="CD46" s="125"/>
      <c r="CE46" s="125"/>
      <c r="CF46" s="125"/>
      <c r="CG46" s="75"/>
      <c r="CH46" s="75"/>
      <c r="CI46" s="125"/>
      <c r="CJ46" s="125"/>
      <c r="CK46" s="125"/>
      <c r="CL46" s="125"/>
      <c r="CM46" s="75"/>
      <c r="CN46" s="75"/>
      <c r="CO46" s="125"/>
      <c r="CP46" s="125"/>
      <c r="CQ46" s="125"/>
      <c r="CR46" s="125"/>
      <c r="CS46" s="75"/>
      <c r="CT46" s="53"/>
      <c r="CU46" s="51"/>
      <c r="CV46" s="51"/>
      <c r="CW46" s="51"/>
      <c r="CX46" s="51"/>
      <c r="CY46" s="51"/>
      <c r="CZ46" s="51"/>
      <c r="DA46" s="51"/>
      <c r="DB46" s="51"/>
      <c r="DC46" s="51"/>
      <c r="DD46" s="51"/>
      <c r="DE46" s="51"/>
      <c r="DF46" s="51"/>
      <c r="DG46" s="80"/>
    </row>
    <row r="47" spans="1:111" s="65" customFormat="1" ht="10.5" x14ac:dyDescent="0.25">
      <c r="A47" s="51"/>
      <c r="B47" s="47"/>
      <c r="C47" s="47"/>
      <c r="D47" s="48"/>
      <c r="E47" s="49"/>
      <c r="F47" s="190" t="s">
        <v>25</v>
      </c>
      <c r="G47" s="191"/>
      <c r="H47" s="192">
        <v>1</v>
      </c>
      <c r="I47" s="193"/>
      <c r="J47" s="193"/>
      <c r="K47" s="193"/>
      <c r="L47" s="193"/>
      <c r="M47" s="193"/>
      <c r="N47" s="192">
        <v>2</v>
      </c>
      <c r="O47" s="193"/>
      <c r="P47" s="193"/>
      <c r="Q47" s="193"/>
      <c r="R47" s="193"/>
      <c r="S47" s="193"/>
      <c r="T47" s="192">
        <v>3</v>
      </c>
      <c r="U47" s="193"/>
      <c r="V47" s="193"/>
      <c r="W47" s="193"/>
      <c r="X47" s="193"/>
      <c r="Y47" s="193"/>
      <c r="Z47" s="192">
        <v>4</v>
      </c>
      <c r="AA47" s="193"/>
      <c r="AB47" s="193"/>
      <c r="AC47" s="193"/>
      <c r="AD47" s="193"/>
      <c r="AE47" s="193"/>
      <c r="AF47" s="192">
        <v>5</v>
      </c>
      <c r="AG47" s="193"/>
      <c r="AH47" s="193"/>
      <c r="AI47" s="193"/>
      <c r="AJ47" s="193"/>
      <c r="AK47" s="193"/>
      <c r="AL47" s="192">
        <v>6</v>
      </c>
      <c r="AM47" s="193"/>
      <c r="AN47" s="193"/>
      <c r="AO47" s="193"/>
      <c r="AP47" s="193"/>
      <c r="AQ47" s="193"/>
      <c r="AR47" s="192">
        <v>7</v>
      </c>
      <c r="AS47" s="193"/>
      <c r="AT47" s="193"/>
      <c r="AU47" s="193"/>
      <c r="AV47" s="193"/>
      <c r="AW47" s="193"/>
      <c r="AX47" s="192">
        <v>8</v>
      </c>
      <c r="AY47" s="193"/>
      <c r="AZ47" s="193"/>
      <c r="BA47" s="193"/>
      <c r="BB47" s="193"/>
      <c r="BC47" s="193"/>
      <c r="BD47" s="192">
        <v>9</v>
      </c>
      <c r="BE47" s="193"/>
      <c r="BF47" s="193"/>
      <c r="BG47" s="193"/>
      <c r="BH47" s="193"/>
      <c r="BI47" s="193"/>
      <c r="BJ47" s="192">
        <v>10</v>
      </c>
      <c r="BK47" s="193"/>
      <c r="BL47" s="193"/>
      <c r="BM47" s="193"/>
      <c r="BN47" s="193"/>
      <c r="BO47" s="193"/>
      <c r="BP47" s="192">
        <v>11</v>
      </c>
      <c r="BQ47" s="193"/>
      <c r="BR47" s="193"/>
      <c r="BS47" s="193"/>
      <c r="BT47" s="193"/>
      <c r="BU47" s="193"/>
      <c r="BV47" s="192">
        <v>12</v>
      </c>
      <c r="BW47" s="193"/>
      <c r="BX47" s="193"/>
      <c r="BY47" s="193"/>
      <c r="BZ47" s="193"/>
      <c r="CA47" s="193"/>
      <c r="CB47" s="192">
        <v>13</v>
      </c>
      <c r="CC47" s="193"/>
      <c r="CD47" s="193"/>
      <c r="CE47" s="193"/>
      <c r="CF47" s="193"/>
      <c r="CG47" s="193"/>
      <c r="CH47" s="192">
        <v>14</v>
      </c>
      <c r="CI47" s="193"/>
      <c r="CJ47" s="193"/>
      <c r="CK47" s="193"/>
      <c r="CL47" s="193"/>
      <c r="CM47" s="193"/>
      <c r="CN47" s="192">
        <v>15</v>
      </c>
      <c r="CO47" s="193"/>
      <c r="CP47" s="193"/>
      <c r="CQ47" s="193"/>
      <c r="CR47" s="193"/>
      <c r="CS47" s="193"/>
      <c r="CT47" s="51"/>
      <c r="CU47" s="51"/>
      <c r="CV47" s="51"/>
      <c r="CW47" s="51"/>
      <c r="CX47" s="51"/>
      <c r="CY47" s="51"/>
      <c r="CZ47" s="51"/>
      <c r="DA47" s="51"/>
      <c r="DB47" s="51"/>
      <c r="DC47" s="51"/>
      <c r="DD47" s="51"/>
      <c r="DE47" s="51"/>
      <c r="DF47" s="51"/>
      <c r="DG47" s="81"/>
    </row>
    <row r="48" spans="1:111" s="65" customFormat="1" ht="22.5" customHeight="1" x14ac:dyDescent="0.25">
      <c r="A48" s="51"/>
      <c r="B48" s="47"/>
      <c r="C48" s="47"/>
      <c r="D48" s="48"/>
      <c r="E48" s="50"/>
      <c r="F48" s="190" t="s">
        <v>28</v>
      </c>
      <c r="G48" s="201"/>
      <c r="H48" s="196"/>
      <c r="I48" s="197"/>
      <c r="J48" s="197"/>
      <c r="K48" s="197"/>
      <c r="L48" s="197"/>
      <c r="M48" s="198"/>
      <c r="N48" s="196"/>
      <c r="O48" s="197"/>
      <c r="P48" s="197"/>
      <c r="Q48" s="197"/>
      <c r="R48" s="197"/>
      <c r="S48" s="198"/>
      <c r="T48" s="196"/>
      <c r="U48" s="197"/>
      <c r="V48" s="197"/>
      <c r="W48" s="197"/>
      <c r="X48" s="197"/>
      <c r="Y48" s="198"/>
      <c r="Z48" s="196"/>
      <c r="AA48" s="197"/>
      <c r="AB48" s="197"/>
      <c r="AC48" s="197"/>
      <c r="AD48" s="197"/>
      <c r="AE48" s="198"/>
      <c r="AF48" s="196"/>
      <c r="AG48" s="197"/>
      <c r="AH48" s="197"/>
      <c r="AI48" s="197"/>
      <c r="AJ48" s="197"/>
      <c r="AK48" s="198"/>
      <c r="AL48" s="196"/>
      <c r="AM48" s="197"/>
      <c r="AN48" s="197"/>
      <c r="AO48" s="197"/>
      <c r="AP48" s="197"/>
      <c r="AQ48" s="198"/>
      <c r="AR48" s="196"/>
      <c r="AS48" s="197"/>
      <c r="AT48" s="197"/>
      <c r="AU48" s="197"/>
      <c r="AV48" s="197"/>
      <c r="AW48" s="198"/>
      <c r="AX48" s="196"/>
      <c r="AY48" s="197"/>
      <c r="AZ48" s="197"/>
      <c r="BA48" s="197"/>
      <c r="BB48" s="197"/>
      <c r="BC48" s="198"/>
      <c r="BD48" s="196"/>
      <c r="BE48" s="197"/>
      <c r="BF48" s="197"/>
      <c r="BG48" s="197"/>
      <c r="BH48" s="197"/>
      <c r="BI48" s="198"/>
      <c r="BJ48" s="196"/>
      <c r="BK48" s="197"/>
      <c r="BL48" s="197"/>
      <c r="BM48" s="197"/>
      <c r="BN48" s="197"/>
      <c r="BO48" s="198"/>
      <c r="BP48" s="196"/>
      <c r="BQ48" s="197"/>
      <c r="BR48" s="197"/>
      <c r="BS48" s="197"/>
      <c r="BT48" s="197"/>
      <c r="BU48" s="198"/>
      <c r="BV48" s="196"/>
      <c r="BW48" s="197"/>
      <c r="BX48" s="197"/>
      <c r="BY48" s="197"/>
      <c r="BZ48" s="197"/>
      <c r="CA48" s="198"/>
      <c r="CB48" s="196"/>
      <c r="CC48" s="197"/>
      <c r="CD48" s="197"/>
      <c r="CE48" s="197"/>
      <c r="CF48" s="197"/>
      <c r="CG48" s="198"/>
      <c r="CH48" s="196"/>
      <c r="CI48" s="197"/>
      <c r="CJ48" s="197"/>
      <c r="CK48" s="197"/>
      <c r="CL48" s="197"/>
      <c r="CM48" s="198"/>
      <c r="CN48" s="211"/>
      <c r="CO48" s="211"/>
      <c r="CP48" s="211"/>
      <c r="CQ48" s="211"/>
      <c r="CR48" s="211"/>
      <c r="CS48" s="211"/>
      <c r="CT48" s="170" t="s">
        <v>26</v>
      </c>
      <c r="CU48" s="171"/>
      <c r="CV48" s="171"/>
      <c r="CW48" s="171"/>
      <c r="CX48" s="171"/>
      <c r="CY48" s="171"/>
      <c r="CZ48" s="171"/>
      <c r="DA48" s="171"/>
      <c r="DB48" s="171"/>
      <c r="DC48" s="171"/>
      <c r="DD48" s="171"/>
      <c r="DE48" s="172"/>
      <c r="DF48" s="51"/>
      <c r="DG48" s="82"/>
    </row>
    <row r="49" spans="1:111" ht="83.25" customHeight="1" x14ac:dyDescent="0.25">
      <c r="A49" s="17"/>
      <c r="B49" s="199" t="s">
        <v>24</v>
      </c>
      <c r="C49" s="199" t="s">
        <v>35</v>
      </c>
      <c r="D49" s="194" t="s">
        <v>2</v>
      </c>
      <c r="E49" s="194" t="s">
        <v>10</v>
      </c>
      <c r="F49" s="95"/>
      <c r="G49" s="110" t="s">
        <v>57</v>
      </c>
      <c r="H49" s="202"/>
      <c r="I49" s="203"/>
      <c r="J49" s="203"/>
      <c r="K49" s="203"/>
      <c r="L49" s="203"/>
      <c r="M49" s="204"/>
      <c r="N49" s="202"/>
      <c r="O49" s="203"/>
      <c r="P49" s="203"/>
      <c r="Q49" s="203"/>
      <c r="R49" s="203"/>
      <c r="S49" s="204"/>
      <c r="T49" s="202"/>
      <c r="U49" s="203"/>
      <c r="V49" s="203"/>
      <c r="W49" s="203"/>
      <c r="X49" s="203"/>
      <c r="Y49" s="204"/>
      <c r="Z49" s="202"/>
      <c r="AA49" s="203"/>
      <c r="AB49" s="203"/>
      <c r="AC49" s="203"/>
      <c r="AD49" s="203"/>
      <c r="AE49" s="204"/>
      <c r="AF49" s="202"/>
      <c r="AG49" s="203"/>
      <c r="AH49" s="203"/>
      <c r="AI49" s="203"/>
      <c r="AJ49" s="203"/>
      <c r="AK49" s="204"/>
      <c r="AL49" s="202"/>
      <c r="AM49" s="203"/>
      <c r="AN49" s="203"/>
      <c r="AO49" s="203"/>
      <c r="AP49" s="203"/>
      <c r="AQ49" s="204"/>
      <c r="AR49" s="202"/>
      <c r="AS49" s="203"/>
      <c r="AT49" s="203"/>
      <c r="AU49" s="203"/>
      <c r="AV49" s="203"/>
      <c r="AW49" s="204"/>
      <c r="AX49" s="202"/>
      <c r="AY49" s="203"/>
      <c r="AZ49" s="203"/>
      <c r="BA49" s="203"/>
      <c r="BB49" s="203"/>
      <c r="BC49" s="204"/>
      <c r="BD49" s="202"/>
      <c r="BE49" s="203"/>
      <c r="BF49" s="203"/>
      <c r="BG49" s="203"/>
      <c r="BH49" s="203"/>
      <c r="BI49" s="204"/>
      <c r="BJ49" s="202"/>
      <c r="BK49" s="203"/>
      <c r="BL49" s="203"/>
      <c r="BM49" s="203"/>
      <c r="BN49" s="203"/>
      <c r="BO49" s="204"/>
      <c r="BP49" s="202"/>
      <c r="BQ49" s="203"/>
      <c r="BR49" s="203"/>
      <c r="BS49" s="203"/>
      <c r="BT49" s="203"/>
      <c r="BU49" s="204"/>
      <c r="BV49" s="202"/>
      <c r="BW49" s="203"/>
      <c r="BX49" s="203"/>
      <c r="BY49" s="203"/>
      <c r="BZ49" s="203"/>
      <c r="CA49" s="204"/>
      <c r="CB49" s="202"/>
      <c r="CC49" s="203"/>
      <c r="CD49" s="203"/>
      <c r="CE49" s="203"/>
      <c r="CF49" s="203"/>
      <c r="CG49" s="204"/>
      <c r="CH49" s="202"/>
      <c r="CI49" s="203"/>
      <c r="CJ49" s="203"/>
      <c r="CK49" s="203"/>
      <c r="CL49" s="203"/>
      <c r="CM49" s="204"/>
      <c r="CN49" s="202"/>
      <c r="CO49" s="203"/>
      <c r="CP49" s="203"/>
      <c r="CQ49" s="203"/>
      <c r="CR49" s="203"/>
      <c r="CS49" s="204"/>
      <c r="CT49" s="157" t="s">
        <v>27</v>
      </c>
      <c r="CU49" s="157" t="s">
        <v>11</v>
      </c>
      <c r="CV49" s="157" t="s">
        <v>12</v>
      </c>
      <c r="CW49" s="157" t="s">
        <v>13</v>
      </c>
      <c r="CX49" s="157" t="s">
        <v>14</v>
      </c>
      <c r="CY49" s="157" t="s">
        <v>15</v>
      </c>
      <c r="CZ49" s="104"/>
      <c r="DA49" s="105"/>
      <c r="DB49" s="105"/>
      <c r="DC49" s="105"/>
      <c r="DD49" s="105"/>
      <c r="DE49" s="106"/>
      <c r="DF49" s="17"/>
      <c r="DG49" s="163" t="s">
        <v>49</v>
      </c>
    </row>
    <row r="50" spans="1:111" ht="83.25" customHeight="1" x14ac:dyDescent="0.25">
      <c r="A50" s="17"/>
      <c r="B50" s="200"/>
      <c r="C50" s="200"/>
      <c r="D50" s="195"/>
      <c r="E50" s="195"/>
      <c r="F50" s="101" t="s">
        <v>56</v>
      </c>
      <c r="G50" s="103"/>
      <c r="H50" s="205"/>
      <c r="I50" s="206"/>
      <c r="J50" s="206"/>
      <c r="K50" s="206"/>
      <c r="L50" s="206"/>
      <c r="M50" s="207"/>
      <c r="N50" s="205"/>
      <c r="O50" s="206"/>
      <c r="P50" s="206"/>
      <c r="Q50" s="206"/>
      <c r="R50" s="206"/>
      <c r="S50" s="207"/>
      <c r="T50" s="205"/>
      <c r="U50" s="206"/>
      <c r="V50" s="206"/>
      <c r="W50" s="206"/>
      <c r="X50" s="206"/>
      <c r="Y50" s="207"/>
      <c r="Z50" s="205"/>
      <c r="AA50" s="206"/>
      <c r="AB50" s="206"/>
      <c r="AC50" s="206"/>
      <c r="AD50" s="206"/>
      <c r="AE50" s="207"/>
      <c r="AF50" s="205"/>
      <c r="AG50" s="206"/>
      <c r="AH50" s="206"/>
      <c r="AI50" s="206"/>
      <c r="AJ50" s="206"/>
      <c r="AK50" s="207"/>
      <c r="AL50" s="205"/>
      <c r="AM50" s="206"/>
      <c r="AN50" s="206"/>
      <c r="AO50" s="206"/>
      <c r="AP50" s="206"/>
      <c r="AQ50" s="207"/>
      <c r="AR50" s="205"/>
      <c r="AS50" s="206"/>
      <c r="AT50" s="206"/>
      <c r="AU50" s="206"/>
      <c r="AV50" s="206"/>
      <c r="AW50" s="207"/>
      <c r="AX50" s="205"/>
      <c r="AY50" s="206"/>
      <c r="AZ50" s="206"/>
      <c r="BA50" s="206"/>
      <c r="BB50" s="206"/>
      <c r="BC50" s="207"/>
      <c r="BD50" s="205"/>
      <c r="BE50" s="206"/>
      <c r="BF50" s="206"/>
      <c r="BG50" s="206"/>
      <c r="BH50" s="206"/>
      <c r="BI50" s="207"/>
      <c r="BJ50" s="205"/>
      <c r="BK50" s="206"/>
      <c r="BL50" s="206"/>
      <c r="BM50" s="206"/>
      <c r="BN50" s="206"/>
      <c r="BO50" s="207"/>
      <c r="BP50" s="205"/>
      <c r="BQ50" s="206"/>
      <c r="BR50" s="206"/>
      <c r="BS50" s="206"/>
      <c r="BT50" s="206"/>
      <c r="BU50" s="207"/>
      <c r="BV50" s="205"/>
      <c r="BW50" s="206"/>
      <c r="BX50" s="206"/>
      <c r="BY50" s="206"/>
      <c r="BZ50" s="206"/>
      <c r="CA50" s="207"/>
      <c r="CB50" s="205"/>
      <c r="CC50" s="206"/>
      <c r="CD50" s="206"/>
      <c r="CE50" s="206"/>
      <c r="CF50" s="206"/>
      <c r="CG50" s="207"/>
      <c r="CH50" s="205"/>
      <c r="CI50" s="206"/>
      <c r="CJ50" s="206"/>
      <c r="CK50" s="206"/>
      <c r="CL50" s="206"/>
      <c r="CM50" s="207"/>
      <c r="CN50" s="205"/>
      <c r="CO50" s="206"/>
      <c r="CP50" s="206"/>
      <c r="CQ50" s="206"/>
      <c r="CR50" s="206"/>
      <c r="CS50" s="207"/>
      <c r="CT50" s="158"/>
      <c r="CU50" s="158"/>
      <c r="CV50" s="158"/>
      <c r="CW50" s="158"/>
      <c r="CX50" s="158"/>
      <c r="CY50" s="158"/>
      <c r="CZ50" s="107">
        <v>0</v>
      </c>
      <c r="DA50" s="108">
        <v>1</v>
      </c>
      <c r="DB50" s="108">
        <v>2</v>
      </c>
      <c r="DC50" s="108">
        <v>3</v>
      </c>
      <c r="DD50" s="108">
        <v>4</v>
      </c>
      <c r="DE50" s="109">
        <v>5</v>
      </c>
      <c r="DF50" s="17"/>
      <c r="DG50" s="164"/>
    </row>
    <row r="51" spans="1:111" s="65" customFormat="1" ht="23.25" customHeight="1" x14ac:dyDescent="0.2">
      <c r="A51" s="51"/>
      <c r="B51" s="31">
        <v>1</v>
      </c>
      <c r="C51" s="30">
        <f t="shared" ref="C51:C60" si="0">MAX($H69:$CS69)</f>
        <v>0</v>
      </c>
      <c r="D51" s="39" t="str">
        <f t="shared" ref="D51:D60" si="1">IF(ISNUMBER($E51), ($E51/SUM($E$51:$E$60))*100, "")</f>
        <v/>
      </c>
      <c r="E51" s="42"/>
      <c r="F51" s="218"/>
      <c r="G51" s="219"/>
      <c r="H51" s="185"/>
      <c r="I51" s="186"/>
      <c r="J51" s="186"/>
      <c r="K51" s="186"/>
      <c r="L51" s="186"/>
      <c r="M51" s="187"/>
      <c r="N51" s="185"/>
      <c r="O51" s="186"/>
      <c r="P51" s="186"/>
      <c r="Q51" s="186"/>
      <c r="R51" s="186"/>
      <c r="S51" s="187"/>
      <c r="T51" s="185"/>
      <c r="U51" s="186"/>
      <c r="V51" s="186"/>
      <c r="W51" s="186"/>
      <c r="X51" s="186"/>
      <c r="Y51" s="187"/>
      <c r="Z51" s="185"/>
      <c r="AA51" s="186"/>
      <c r="AB51" s="186"/>
      <c r="AC51" s="186"/>
      <c r="AD51" s="186"/>
      <c r="AE51" s="187"/>
      <c r="AF51" s="185"/>
      <c r="AG51" s="186"/>
      <c r="AH51" s="186"/>
      <c r="AI51" s="186"/>
      <c r="AJ51" s="186"/>
      <c r="AK51" s="187"/>
      <c r="AL51" s="185"/>
      <c r="AM51" s="186"/>
      <c r="AN51" s="186"/>
      <c r="AO51" s="186"/>
      <c r="AP51" s="186"/>
      <c r="AQ51" s="187"/>
      <c r="AR51" s="185"/>
      <c r="AS51" s="186"/>
      <c r="AT51" s="186"/>
      <c r="AU51" s="186"/>
      <c r="AV51" s="186"/>
      <c r="AW51" s="187"/>
      <c r="AX51" s="185"/>
      <c r="AY51" s="186"/>
      <c r="AZ51" s="186"/>
      <c r="BA51" s="186"/>
      <c r="BB51" s="186"/>
      <c r="BC51" s="187"/>
      <c r="BD51" s="185"/>
      <c r="BE51" s="186"/>
      <c r="BF51" s="186"/>
      <c r="BG51" s="186"/>
      <c r="BH51" s="186"/>
      <c r="BI51" s="187"/>
      <c r="BJ51" s="185"/>
      <c r="BK51" s="186"/>
      <c r="BL51" s="186"/>
      <c r="BM51" s="186"/>
      <c r="BN51" s="186"/>
      <c r="BO51" s="187"/>
      <c r="BP51" s="185"/>
      <c r="BQ51" s="186"/>
      <c r="BR51" s="186"/>
      <c r="BS51" s="186"/>
      <c r="BT51" s="186"/>
      <c r="BU51" s="187"/>
      <c r="BV51" s="185"/>
      <c r="BW51" s="186"/>
      <c r="BX51" s="186"/>
      <c r="BY51" s="186"/>
      <c r="BZ51" s="186"/>
      <c r="CA51" s="187"/>
      <c r="CB51" s="185"/>
      <c r="CC51" s="186"/>
      <c r="CD51" s="186"/>
      <c r="CE51" s="186"/>
      <c r="CF51" s="186"/>
      <c r="CG51" s="187"/>
      <c r="CH51" s="185"/>
      <c r="CI51" s="186"/>
      <c r="CJ51" s="186"/>
      <c r="CK51" s="186"/>
      <c r="CL51" s="186"/>
      <c r="CM51" s="187"/>
      <c r="CN51" s="212"/>
      <c r="CO51" s="212"/>
      <c r="CP51" s="212"/>
      <c r="CQ51" s="212"/>
      <c r="CR51" s="212"/>
      <c r="CS51" s="212"/>
      <c r="CT51" s="45"/>
      <c r="CU51" s="45"/>
      <c r="CV51" s="45"/>
      <c r="CW51" s="45"/>
      <c r="CX51" s="45"/>
      <c r="CY51" s="45"/>
      <c r="CZ51" s="67"/>
      <c r="DA51" s="68"/>
      <c r="DB51" s="68"/>
      <c r="DC51" s="68"/>
      <c r="DD51" s="68"/>
      <c r="DE51" s="69"/>
      <c r="DF51" s="51"/>
      <c r="DG51" s="83">
        <f>(ROWS($B$51:$B$60)-ROW()+ROW($B$51:$B$60)-0.5)/ROWS($B$51:$B$60)</f>
        <v>0.95</v>
      </c>
    </row>
    <row r="52" spans="1:111" s="65" customFormat="1" ht="23.25" customHeight="1" x14ac:dyDescent="0.2">
      <c r="A52" s="51"/>
      <c r="B52" s="31">
        <v>2</v>
      </c>
      <c r="C52" s="30">
        <f t="shared" si="0"/>
        <v>0</v>
      </c>
      <c r="D52" s="39" t="str">
        <f t="shared" si="1"/>
        <v/>
      </c>
      <c r="E52" s="42"/>
      <c r="F52" s="218"/>
      <c r="G52" s="219"/>
      <c r="H52" s="185"/>
      <c r="I52" s="186"/>
      <c r="J52" s="186"/>
      <c r="K52" s="186"/>
      <c r="L52" s="186"/>
      <c r="M52" s="187"/>
      <c r="N52" s="185"/>
      <c r="O52" s="186"/>
      <c r="P52" s="186"/>
      <c r="Q52" s="186"/>
      <c r="R52" s="186"/>
      <c r="S52" s="187"/>
      <c r="T52" s="185"/>
      <c r="U52" s="186"/>
      <c r="V52" s="186"/>
      <c r="W52" s="186"/>
      <c r="X52" s="186"/>
      <c r="Y52" s="187"/>
      <c r="Z52" s="185"/>
      <c r="AA52" s="186"/>
      <c r="AB52" s="186"/>
      <c r="AC52" s="186"/>
      <c r="AD52" s="186"/>
      <c r="AE52" s="187"/>
      <c r="AF52" s="185"/>
      <c r="AG52" s="186"/>
      <c r="AH52" s="186"/>
      <c r="AI52" s="186"/>
      <c r="AJ52" s="186"/>
      <c r="AK52" s="187"/>
      <c r="AL52" s="185"/>
      <c r="AM52" s="186"/>
      <c r="AN52" s="186"/>
      <c r="AO52" s="186"/>
      <c r="AP52" s="186"/>
      <c r="AQ52" s="187"/>
      <c r="AR52" s="185"/>
      <c r="AS52" s="186"/>
      <c r="AT52" s="186"/>
      <c r="AU52" s="186"/>
      <c r="AV52" s="186"/>
      <c r="AW52" s="187"/>
      <c r="AX52" s="185"/>
      <c r="AY52" s="186"/>
      <c r="AZ52" s="186"/>
      <c r="BA52" s="186"/>
      <c r="BB52" s="186"/>
      <c r="BC52" s="187"/>
      <c r="BD52" s="185"/>
      <c r="BE52" s="186"/>
      <c r="BF52" s="186"/>
      <c r="BG52" s="186"/>
      <c r="BH52" s="186"/>
      <c r="BI52" s="187"/>
      <c r="BJ52" s="185"/>
      <c r="BK52" s="186"/>
      <c r="BL52" s="186"/>
      <c r="BM52" s="186"/>
      <c r="BN52" s="186"/>
      <c r="BO52" s="187"/>
      <c r="BP52" s="185"/>
      <c r="BQ52" s="186"/>
      <c r="BR52" s="186"/>
      <c r="BS52" s="186"/>
      <c r="BT52" s="186"/>
      <c r="BU52" s="187"/>
      <c r="BV52" s="185"/>
      <c r="BW52" s="186"/>
      <c r="BX52" s="186"/>
      <c r="BY52" s="186"/>
      <c r="BZ52" s="186"/>
      <c r="CA52" s="187"/>
      <c r="CB52" s="185"/>
      <c r="CC52" s="186"/>
      <c r="CD52" s="186"/>
      <c r="CE52" s="186"/>
      <c r="CF52" s="186"/>
      <c r="CG52" s="187"/>
      <c r="CH52" s="185"/>
      <c r="CI52" s="186"/>
      <c r="CJ52" s="186"/>
      <c r="CK52" s="186"/>
      <c r="CL52" s="186"/>
      <c r="CM52" s="187"/>
      <c r="CN52" s="185"/>
      <c r="CO52" s="186"/>
      <c r="CP52" s="186"/>
      <c r="CQ52" s="186"/>
      <c r="CR52" s="186"/>
      <c r="CS52" s="187"/>
      <c r="CT52" s="45"/>
      <c r="CU52" s="45"/>
      <c r="CV52" s="45"/>
      <c r="CW52" s="45"/>
      <c r="CX52" s="45"/>
      <c r="CY52" s="45"/>
      <c r="CZ52" s="55"/>
      <c r="DA52" s="53"/>
      <c r="DB52" s="53"/>
      <c r="DC52" s="53"/>
      <c r="DD52" s="53"/>
      <c r="DE52" s="56"/>
      <c r="DF52" s="51"/>
      <c r="DG52" s="83">
        <f t="shared" ref="DG52:DG60" si="2">(ROWS($B$51:$B$60)-ROW()+ROW($B$51:$B$60)-0.5)/ROWS($B$51:$B$60)</f>
        <v>0.85</v>
      </c>
    </row>
    <row r="53" spans="1:111" s="65" customFormat="1" ht="23.25" customHeight="1" x14ac:dyDescent="0.2">
      <c r="A53" s="51"/>
      <c r="B53" s="31">
        <v>3</v>
      </c>
      <c r="C53" s="30">
        <f t="shared" si="0"/>
        <v>0</v>
      </c>
      <c r="D53" s="39" t="str">
        <f t="shared" si="1"/>
        <v/>
      </c>
      <c r="E53" s="42"/>
      <c r="F53" s="218"/>
      <c r="G53" s="219"/>
      <c r="H53" s="185"/>
      <c r="I53" s="186"/>
      <c r="J53" s="186"/>
      <c r="K53" s="186"/>
      <c r="L53" s="186"/>
      <c r="M53" s="187"/>
      <c r="N53" s="185"/>
      <c r="O53" s="186"/>
      <c r="P53" s="186"/>
      <c r="Q53" s="186"/>
      <c r="R53" s="186"/>
      <c r="S53" s="187"/>
      <c r="T53" s="185"/>
      <c r="U53" s="186"/>
      <c r="V53" s="186"/>
      <c r="W53" s="186"/>
      <c r="X53" s="186"/>
      <c r="Y53" s="187"/>
      <c r="Z53" s="185"/>
      <c r="AA53" s="186"/>
      <c r="AB53" s="186"/>
      <c r="AC53" s="186"/>
      <c r="AD53" s="186"/>
      <c r="AE53" s="187"/>
      <c r="AF53" s="185"/>
      <c r="AG53" s="186"/>
      <c r="AH53" s="186"/>
      <c r="AI53" s="186"/>
      <c r="AJ53" s="186"/>
      <c r="AK53" s="187"/>
      <c r="AL53" s="185"/>
      <c r="AM53" s="186"/>
      <c r="AN53" s="186"/>
      <c r="AO53" s="186"/>
      <c r="AP53" s="186"/>
      <c r="AQ53" s="187"/>
      <c r="AR53" s="185"/>
      <c r="AS53" s="186"/>
      <c r="AT53" s="186"/>
      <c r="AU53" s="186"/>
      <c r="AV53" s="186"/>
      <c r="AW53" s="187"/>
      <c r="AX53" s="185"/>
      <c r="AY53" s="186"/>
      <c r="AZ53" s="186"/>
      <c r="BA53" s="186"/>
      <c r="BB53" s="186"/>
      <c r="BC53" s="187"/>
      <c r="BD53" s="185"/>
      <c r="BE53" s="186"/>
      <c r="BF53" s="186"/>
      <c r="BG53" s="186"/>
      <c r="BH53" s="186"/>
      <c r="BI53" s="187"/>
      <c r="BJ53" s="185"/>
      <c r="BK53" s="186"/>
      <c r="BL53" s="186"/>
      <c r="BM53" s="186"/>
      <c r="BN53" s="186"/>
      <c r="BO53" s="187"/>
      <c r="BP53" s="185"/>
      <c r="BQ53" s="186"/>
      <c r="BR53" s="186"/>
      <c r="BS53" s="186"/>
      <c r="BT53" s="186"/>
      <c r="BU53" s="187"/>
      <c r="BV53" s="185"/>
      <c r="BW53" s="186"/>
      <c r="BX53" s="186"/>
      <c r="BY53" s="186"/>
      <c r="BZ53" s="186"/>
      <c r="CA53" s="187"/>
      <c r="CB53" s="185"/>
      <c r="CC53" s="186"/>
      <c r="CD53" s="186"/>
      <c r="CE53" s="186"/>
      <c r="CF53" s="186"/>
      <c r="CG53" s="187"/>
      <c r="CH53" s="185"/>
      <c r="CI53" s="186"/>
      <c r="CJ53" s="186"/>
      <c r="CK53" s="186"/>
      <c r="CL53" s="186"/>
      <c r="CM53" s="187"/>
      <c r="CN53" s="185"/>
      <c r="CO53" s="186"/>
      <c r="CP53" s="186"/>
      <c r="CQ53" s="186"/>
      <c r="CR53" s="186"/>
      <c r="CS53" s="187"/>
      <c r="CT53" s="45"/>
      <c r="CU53" s="45"/>
      <c r="CV53" s="45"/>
      <c r="CW53" s="45"/>
      <c r="CX53" s="45"/>
      <c r="CY53" s="45"/>
      <c r="CZ53" s="55"/>
      <c r="DA53" s="53"/>
      <c r="DB53" s="53"/>
      <c r="DC53" s="53"/>
      <c r="DD53" s="53"/>
      <c r="DE53" s="56"/>
      <c r="DF53" s="51"/>
      <c r="DG53" s="83">
        <f t="shared" si="2"/>
        <v>0.75</v>
      </c>
    </row>
    <row r="54" spans="1:111" s="65" customFormat="1" ht="23.25" customHeight="1" x14ac:dyDescent="0.2">
      <c r="A54" s="51"/>
      <c r="B54" s="31">
        <v>4</v>
      </c>
      <c r="C54" s="30">
        <f t="shared" si="0"/>
        <v>0</v>
      </c>
      <c r="D54" s="39" t="str">
        <f t="shared" si="1"/>
        <v/>
      </c>
      <c r="E54" s="42"/>
      <c r="F54" s="218"/>
      <c r="G54" s="219"/>
      <c r="H54" s="185"/>
      <c r="I54" s="186"/>
      <c r="J54" s="186"/>
      <c r="K54" s="186"/>
      <c r="L54" s="186"/>
      <c r="M54" s="187"/>
      <c r="N54" s="185"/>
      <c r="O54" s="186"/>
      <c r="P54" s="186"/>
      <c r="Q54" s="186"/>
      <c r="R54" s="186"/>
      <c r="S54" s="187"/>
      <c r="T54" s="185"/>
      <c r="U54" s="186"/>
      <c r="V54" s="186"/>
      <c r="W54" s="186"/>
      <c r="X54" s="186"/>
      <c r="Y54" s="187"/>
      <c r="Z54" s="185"/>
      <c r="AA54" s="186"/>
      <c r="AB54" s="186"/>
      <c r="AC54" s="186"/>
      <c r="AD54" s="186"/>
      <c r="AE54" s="187"/>
      <c r="AF54" s="185"/>
      <c r="AG54" s="186"/>
      <c r="AH54" s="186"/>
      <c r="AI54" s="186"/>
      <c r="AJ54" s="186"/>
      <c r="AK54" s="187"/>
      <c r="AL54" s="185"/>
      <c r="AM54" s="186"/>
      <c r="AN54" s="186"/>
      <c r="AO54" s="186"/>
      <c r="AP54" s="186"/>
      <c r="AQ54" s="187"/>
      <c r="AR54" s="185"/>
      <c r="AS54" s="186"/>
      <c r="AT54" s="186"/>
      <c r="AU54" s="186"/>
      <c r="AV54" s="186"/>
      <c r="AW54" s="187"/>
      <c r="AX54" s="185"/>
      <c r="AY54" s="186"/>
      <c r="AZ54" s="186"/>
      <c r="BA54" s="186"/>
      <c r="BB54" s="186"/>
      <c r="BC54" s="187"/>
      <c r="BD54" s="185"/>
      <c r="BE54" s="186"/>
      <c r="BF54" s="186"/>
      <c r="BG54" s="186"/>
      <c r="BH54" s="186"/>
      <c r="BI54" s="187"/>
      <c r="BJ54" s="185"/>
      <c r="BK54" s="186"/>
      <c r="BL54" s="186"/>
      <c r="BM54" s="186"/>
      <c r="BN54" s="186"/>
      <c r="BO54" s="187"/>
      <c r="BP54" s="185"/>
      <c r="BQ54" s="186"/>
      <c r="BR54" s="186"/>
      <c r="BS54" s="186"/>
      <c r="BT54" s="186"/>
      <c r="BU54" s="187"/>
      <c r="BV54" s="185"/>
      <c r="BW54" s="186"/>
      <c r="BX54" s="186"/>
      <c r="BY54" s="186"/>
      <c r="BZ54" s="186"/>
      <c r="CA54" s="187"/>
      <c r="CB54" s="185"/>
      <c r="CC54" s="186"/>
      <c r="CD54" s="186"/>
      <c r="CE54" s="186"/>
      <c r="CF54" s="186"/>
      <c r="CG54" s="187"/>
      <c r="CH54" s="185"/>
      <c r="CI54" s="186"/>
      <c r="CJ54" s="186"/>
      <c r="CK54" s="186"/>
      <c r="CL54" s="186"/>
      <c r="CM54" s="187"/>
      <c r="CN54" s="185"/>
      <c r="CO54" s="186"/>
      <c r="CP54" s="186"/>
      <c r="CQ54" s="186"/>
      <c r="CR54" s="186"/>
      <c r="CS54" s="187"/>
      <c r="CT54" s="45"/>
      <c r="CU54" s="45"/>
      <c r="CV54" s="45"/>
      <c r="CW54" s="45"/>
      <c r="CX54" s="45"/>
      <c r="CY54" s="45"/>
      <c r="CZ54" s="55"/>
      <c r="DA54" s="53"/>
      <c r="DB54" s="53"/>
      <c r="DC54" s="53"/>
      <c r="DD54" s="53"/>
      <c r="DE54" s="56"/>
      <c r="DF54" s="51"/>
      <c r="DG54" s="83">
        <f t="shared" si="2"/>
        <v>0.65</v>
      </c>
    </row>
    <row r="55" spans="1:111" s="65" customFormat="1" ht="23.25" customHeight="1" x14ac:dyDescent="0.2">
      <c r="A55" s="51"/>
      <c r="B55" s="31">
        <v>5</v>
      </c>
      <c r="C55" s="30">
        <f t="shared" si="0"/>
        <v>0</v>
      </c>
      <c r="D55" s="39" t="str">
        <f t="shared" si="1"/>
        <v/>
      </c>
      <c r="E55" s="42"/>
      <c r="F55" s="218"/>
      <c r="G55" s="219"/>
      <c r="H55" s="185"/>
      <c r="I55" s="186"/>
      <c r="J55" s="186"/>
      <c r="K55" s="186"/>
      <c r="L55" s="186"/>
      <c r="M55" s="187"/>
      <c r="N55" s="185"/>
      <c r="O55" s="186"/>
      <c r="P55" s="186"/>
      <c r="Q55" s="186"/>
      <c r="R55" s="186"/>
      <c r="S55" s="187"/>
      <c r="T55" s="185"/>
      <c r="U55" s="186"/>
      <c r="V55" s="186"/>
      <c r="W55" s="186"/>
      <c r="X55" s="186"/>
      <c r="Y55" s="187"/>
      <c r="Z55" s="185"/>
      <c r="AA55" s="186"/>
      <c r="AB55" s="186"/>
      <c r="AC55" s="186"/>
      <c r="AD55" s="186"/>
      <c r="AE55" s="187"/>
      <c r="AF55" s="185"/>
      <c r="AG55" s="186"/>
      <c r="AH55" s="186"/>
      <c r="AI55" s="186"/>
      <c r="AJ55" s="186"/>
      <c r="AK55" s="187"/>
      <c r="AL55" s="185"/>
      <c r="AM55" s="186"/>
      <c r="AN55" s="186"/>
      <c r="AO55" s="186"/>
      <c r="AP55" s="186"/>
      <c r="AQ55" s="187"/>
      <c r="AR55" s="185"/>
      <c r="AS55" s="186"/>
      <c r="AT55" s="186"/>
      <c r="AU55" s="186"/>
      <c r="AV55" s="186"/>
      <c r="AW55" s="187"/>
      <c r="AX55" s="185"/>
      <c r="AY55" s="186"/>
      <c r="AZ55" s="186"/>
      <c r="BA55" s="186"/>
      <c r="BB55" s="186"/>
      <c r="BC55" s="187"/>
      <c r="BD55" s="185"/>
      <c r="BE55" s="186"/>
      <c r="BF55" s="186"/>
      <c r="BG55" s="186"/>
      <c r="BH55" s="186"/>
      <c r="BI55" s="187"/>
      <c r="BJ55" s="185"/>
      <c r="BK55" s="186"/>
      <c r="BL55" s="186"/>
      <c r="BM55" s="186"/>
      <c r="BN55" s="186"/>
      <c r="BO55" s="187"/>
      <c r="BP55" s="185"/>
      <c r="BQ55" s="186"/>
      <c r="BR55" s="186"/>
      <c r="BS55" s="186"/>
      <c r="BT55" s="186"/>
      <c r="BU55" s="187"/>
      <c r="BV55" s="185"/>
      <c r="BW55" s="186"/>
      <c r="BX55" s="186"/>
      <c r="BY55" s="186"/>
      <c r="BZ55" s="186"/>
      <c r="CA55" s="187"/>
      <c r="CB55" s="185"/>
      <c r="CC55" s="186"/>
      <c r="CD55" s="186"/>
      <c r="CE55" s="186"/>
      <c r="CF55" s="186"/>
      <c r="CG55" s="187"/>
      <c r="CH55" s="185"/>
      <c r="CI55" s="186"/>
      <c r="CJ55" s="186"/>
      <c r="CK55" s="186"/>
      <c r="CL55" s="186"/>
      <c r="CM55" s="187"/>
      <c r="CN55" s="185"/>
      <c r="CO55" s="186"/>
      <c r="CP55" s="186"/>
      <c r="CQ55" s="186"/>
      <c r="CR55" s="186"/>
      <c r="CS55" s="187"/>
      <c r="CT55" s="45"/>
      <c r="CU55" s="45"/>
      <c r="CV55" s="45"/>
      <c r="CW55" s="45"/>
      <c r="CX55" s="45"/>
      <c r="CY55" s="45"/>
      <c r="CZ55" s="55"/>
      <c r="DA55" s="53"/>
      <c r="DB55" s="53"/>
      <c r="DC55" s="53"/>
      <c r="DD55" s="53"/>
      <c r="DE55" s="56"/>
      <c r="DF55" s="51"/>
      <c r="DG55" s="83">
        <f t="shared" si="2"/>
        <v>0.55000000000000004</v>
      </c>
    </row>
    <row r="56" spans="1:111" s="65" customFormat="1" ht="23.25" customHeight="1" x14ac:dyDescent="0.2">
      <c r="A56" s="51"/>
      <c r="B56" s="31">
        <v>6</v>
      </c>
      <c r="C56" s="30">
        <f t="shared" si="0"/>
        <v>0</v>
      </c>
      <c r="D56" s="39" t="str">
        <f t="shared" si="1"/>
        <v/>
      </c>
      <c r="E56" s="42"/>
      <c r="F56" s="218"/>
      <c r="G56" s="219"/>
      <c r="H56" s="185"/>
      <c r="I56" s="186"/>
      <c r="J56" s="186"/>
      <c r="K56" s="186"/>
      <c r="L56" s="186"/>
      <c r="M56" s="187"/>
      <c r="N56" s="185"/>
      <c r="O56" s="186"/>
      <c r="P56" s="186"/>
      <c r="Q56" s="186"/>
      <c r="R56" s="186"/>
      <c r="S56" s="187"/>
      <c r="T56" s="185"/>
      <c r="U56" s="186"/>
      <c r="V56" s="186"/>
      <c r="W56" s="186"/>
      <c r="X56" s="186"/>
      <c r="Y56" s="187"/>
      <c r="Z56" s="185"/>
      <c r="AA56" s="186"/>
      <c r="AB56" s="186"/>
      <c r="AC56" s="186"/>
      <c r="AD56" s="186"/>
      <c r="AE56" s="187"/>
      <c r="AF56" s="185"/>
      <c r="AG56" s="186"/>
      <c r="AH56" s="186"/>
      <c r="AI56" s="186"/>
      <c r="AJ56" s="186"/>
      <c r="AK56" s="187"/>
      <c r="AL56" s="185"/>
      <c r="AM56" s="186"/>
      <c r="AN56" s="186"/>
      <c r="AO56" s="186"/>
      <c r="AP56" s="186"/>
      <c r="AQ56" s="187"/>
      <c r="AR56" s="185"/>
      <c r="AS56" s="186"/>
      <c r="AT56" s="186"/>
      <c r="AU56" s="186"/>
      <c r="AV56" s="186"/>
      <c r="AW56" s="187"/>
      <c r="AX56" s="185"/>
      <c r="AY56" s="186"/>
      <c r="AZ56" s="186"/>
      <c r="BA56" s="186"/>
      <c r="BB56" s="186"/>
      <c r="BC56" s="187"/>
      <c r="BD56" s="185"/>
      <c r="BE56" s="186"/>
      <c r="BF56" s="186"/>
      <c r="BG56" s="186"/>
      <c r="BH56" s="186"/>
      <c r="BI56" s="187"/>
      <c r="BJ56" s="185"/>
      <c r="BK56" s="186"/>
      <c r="BL56" s="186"/>
      <c r="BM56" s="186"/>
      <c r="BN56" s="186"/>
      <c r="BO56" s="187"/>
      <c r="BP56" s="185"/>
      <c r="BQ56" s="186"/>
      <c r="BR56" s="186"/>
      <c r="BS56" s="186"/>
      <c r="BT56" s="186"/>
      <c r="BU56" s="187"/>
      <c r="BV56" s="185"/>
      <c r="BW56" s="186"/>
      <c r="BX56" s="186"/>
      <c r="BY56" s="186"/>
      <c r="BZ56" s="186"/>
      <c r="CA56" s="187"/>
      <c r="CB56" s="185"/>
      <c r="CC56" s="186"/>
      <c r="CD56" s="186"/>
      <c r="CE56" s="186"/>
      <c r="CF56" s="186"/>
      <c r="CG56" s="187"/>
      <c r="CH56" s="185"/>
      <c r="CI56" s="186"/>
      <c r="CJ56" s="186"/>
      <c r="CK56" s="186"/>
      <c r="CL56" s="186"/>
      <c r="CM56" s="187"/>
      <c r="CN56" s="185"/>
      <c r="CO56" s="186"/>
      <c r="CP56" s="186"/>
      <c r="CQ56" s="186"/>
      <c r="CR56" s="186"/>
      <c r="CS56" s="187"/>
      <c r="CT56" s="45"/>
      <c r="CU56" s="45"/>
      <c r="CV56" s="45"/>
      <c r="CW56" s="45"/>
      <c r="CX56" s="45"/>
      <c r="CY56" s="45"/>
      <c r="CZ56" s="55"/>
      <c r="DA56" s="53"/>
      <c r="DB56" s="53"/>
      <c r="DC56" s="53"/>
      <c r="DD56" s="53"/>
      <c r="DE56" s="56"/>
      <c r="DF56" s="51"/>
      <c r="DG56" s="83">
        <f t="shared" si="2"/>
        <v>0.45</v>
      </c>
    </row>
    <row r="57" spans="1:111" s="65" customFormat="1" ht="23.25" customHeight="1" x14ac:dyDescent="0.2">
      <c r="A57" s="51"/>
      <c r="B57" s="31">
        <v>7</v>
      </c>
      <c r="C57" s="30">
        <f t="shared" si="0"/>
        <v>0</v>
      </c>
      <c r="D57" s="39" t="str">
        <f t="shared" si="1"/>
        <v/>
      </c>
      <c r="E57" s="42"/>
      <c r="F57" s="218"/>
      <c r="G57" s="219"/>
      <c r="H57" s="185"/>
      <c r="I57" s="186"/>
      <c r="J57" s="186"/>
      <c r="K57" s="186"/>
      <c r="L57" s="186"/>
      <c r="M57" s="187"/>
      <c r="N57" s="185"/>
      <c r="O57" s="186"/>
      <c r="P57" s="186"/>
      <c r="Q57" s="186"/>
      <c r="R57" s="186"/>
      <c r="S57" s="187"/>
      <c r="T57" s="185"/>
      <c r="U57" s="186"/>
      <c r="V57" s="186"/>
      <c r="W57" s="186"/>
      <c r="X57" s="186"/>
      <c r="Y57" s="187"/>
      <c r="Z57" s="185"/>
      <c r="AA57" s="186"/>
      <c r="AB57" s="186"/>
      <c r="AC57" s="186"/>
      <c r="AD57" s="186"/>
      <c r="AE57" s="187"/>
      <c r="AF57" s="185"/>
      <c r="AG57" s="186"/>
      <c r="AH57" s="186"/>
      <c r="AI57" s="186"/>
      <c r="AJ57" s="186"/>
      <c r="AK57" s="187"/>
      <c r="AL57" s="185"/>
      <c r="AM57" s="186"/>
      <c r="AN57" s="186"/>
      <c r="AO57" s="186"/>
      <c r="AP57" s="186"/>
      <c r="AQ57" s="187"/>
      <c r="AR57" s="185"/>
      <c r="AS57" s="186"/>
      <c r="AT57" s="186"/>
      <c r="AU57" s="186"/>
      <c r="AV57" s="186"/>
      <c r="AW57" s="187"/>
      <c r="AX57" s="185"/>
      <c r="AY57" s="186"/>
      <c r="AZ57" s="186"/>
      <c r="BA57" s="186"/>
      <c r="BB57" s="186"/>
      <c r="BC57" s="187"/>
      <c r="BD57" s="185"/>
      <c r="BE57" s="186"/>
      <c r="BF57" s="186"/>
      <c r="BG57" s="186"/>
      <c r="BH57" s="186"/>
      <c r="BI57" s="187"/>
      <c r="BJ57" s="185"/>
      <c r="BK57" s="186"/>
      <c r="BL57" s="186"/>
      <c r="BM57" s="186"/>
      <c r="BN57" s="186"/>
      <c r="BO57" s="187"/>
      <c r="BP57" s="185"/>
      <c r="BQ57" s="186"/>
      <c r="BR57" s="186"/>
      <c r="BS57" s="186"/>
      <c r="BT57" s="186"/>
      <c r="BU57" s="187"/>
      <c r="BV57" s="185"/>
      <c r="BW57" s="186"/>
      <c r="BX57" s="186"/>
      <c r="BY57" s="186"/>
      <c r="BZ57" s="186"/>
      <c r="CA57" s="187"/>
      <c r="CB57" s="185"/>
      <c r="CC57" s="186"/>
      <c r="CD57" s="186"/>
      <c r="CE57" s="186"/>
      <c r="CF57" s="186"/>
      <c r="CG57" s="187"/>
      <c r="CH57" s="185"/>
      <c r="CI57" s="186"/>
      <c r="CJ57" s="186"/>
      <c r="CK57" s="186"/>
      <c r="CL57" s="186"/>
      <c r="CM57" s="187"/>
      <c r="CN57" s="185"/>
      <c r="CO57" s="186"/>
      <c r="CP57" s="186"/>
      <c r="CQ57" s="186"/>
      <c r="CR57" s="186"/>
      <c r="CS57" s="187"/>
      <c r="CT57" s="45"/>
      <c r="CU57" s="45"/>
      <c r="CV57" s="45"/>
      <c r="CW57" s="45"/>
      <c r="CX57" s="45"/>
      <c r="CY57" s="45"/>
      <c r="CZ57" s="55"/>
      <c r="DA57" s="53"/>
      <c r="DB57" s="53"/>
      <c r="DC57" s="53"/>
      <c r="DD57" s="53"/>
      <c r="DE57" s="56"/>
      <c r="DF57" s="51"/>
      <c r="DG57" s="83">
        <f t="shared" si="2"/>
        <v>0.35</v>
      </c>
    </row>
    <row r="58" spans="1:111" s="65" customFormat="1" ht="23.25" customHeight="1" x14ac:dyDescent="0.2">
      <c r="A58" s="51"/>
      <c r="B58" s="31">
        <v>8</v>
      </c>
      <c r="C58" s="30">
        <f t="shared" si="0"/>
        <v>0</v>
      </c>
      <c r="D58" s="39" t="str">
        <f t="shared" si="1"/>
        <v/>
      </c>
      <c r="E58" s="42"/>
      <c r="F58" s="218"/>
      <c r="G58" s="219"/>
      <c r="H58" s="185"/>
      <c r="I58" s="186"/>
      <c r="J58" s="186"/>
      <c r="K58" s="186"/>
      <c r="L58" s="186"/>
      <c r="M58" s="187"/>
      <c r="N58" s="185"/>
      <c r="O58" s="186"/>
      <c r="P58" s="186"/>
      <c r="Q58" s="186"/>
      <c r="R58" s="186"/>
      <c r="S58" s="187"/>
      <c r="T58" s="185"/>
      <c r="U58" s="186"/>
      <c r="V58" s="186"/>
      <c r="W58" s="186"/>
      <c r="X58" s="186"/>
      <c r="Y58" s="187"/>
      <c r="Z58" s="185"/>
      <c r="AA58" s="186"/>
      <c r="AB58" s="186"/>
      <c r="AC58" s="186"/>
      <c r="AD58" s="186"/>
      <c r="AE58" s="187"/>
      <c r="AF58" s="185"/>
      <c r="AG58" s="186"/>
      <c r="AH58" s="186"/>
      <c r="AI58" s="186"/>
      <c r="AJ58" s="186"/>
      <c r="AK58" s="187"/>
      <c r="AL58" s="185"/>
      <c r="AM58" s="186"/>
      <c r="AN58" s="186"/>
      <c r="AO58" s="186"/>
      <c r="AP58" s="186"/>
      <c r="AQ58" s="187"/>
      <c r="AR58" s="185"/>
      <c r="AS58" s="186"/>
      <c r="AT58" s="186"/>
      <c r="AU58" s="186"/>
      <c r="AV58" s="186"/>
      <c r="AW58" s="187"/>
      <c r="AX58" s="185"/>
      <c r="AY58" s="186"/>
      <c r="AZ58" s="186"/>
      <c r="BA58" s="186"/>
      <c r="BB58" s="186"/>
      <c r="BC58" s="187"/>
      <c r="BD58" s="185"/>
      <c r="BE58" s="186"/>
      <c r="BF58" s="186"/>
      <c r="BG58" s="186"/>
      <c r="BH58" s="186"/>
      <c r="BI58" s="187"/>
      <c r="BJ58" s="185"/>
      <c r="BK58" s="186"/>
      <c r="BL58" s="186"/>
      <c r="BM58" s="186"/>
      <c r="BN58" s="186"/>
      <c r="BO58" s="187"/>
      <c r="BP58" s="185"/>
      <c r="BQ58" s="186"/>
      <c r="BR58" s="186"/>
      <c r="BS58" s="186"/>
      <c r="BT58" s="186"/>
      <c r="BU58" s="187"/>
      <c r="BV58" s="185"/>
      <c r="BW58" s="186"/>
      <c r="BX58" s="186"/>
      <c r="BY58" s="186"/>
      <c r="BZ58" s="186"/>
      <c r="CA58" s="187"/>
      <c r="CB58" s="185"/>
      <c r="CC58" s="186"/>
      <c r="CD58" s="186"/>
      <c r="CE58" s="186"/>
      <c r="CF58" s="186"/>
      <c r="CG58" s="187"/>
      <c r="CH58" s="185"/>
      <c r="CI58" s="186"/>
      <c r="CJ58" s="186"/>
      <c r="CK58" s="186"/>
      <c r="CL58" s="186"/>
      <c r="CM58" s="187"/>
      <c r="CN58" s="185"/>
      <c r="CO58" s="186"/>
      <c r="CP58" s="186"/>
      <c r="CQ58" s="186"/>
      <c r="CR58" s="186"/>
      <c r="CS58" s="187"/>
      <c r="CT58" s="45"/>
      <c r="CU58" s="45"/>
      <c r="CV58" s="45"/>
      <c r="CW58" s="45"/>
      <c r="CX58" s="45"/>
      <c r="CY58" s="45"/>
      <c r="CZ58" s="55"/>
      <c r="DA58" s="53"/>
      <c r="DB58" s="53"/>
      <c r="DC58" s="53"/>
      <c r="DD58" s="53"/>
      <c r="DE58" s="56"/>
      <c r="DF58" s="51"/>
      <c r="DG58" s="83">
        <f t="shared" si="2"/>
        <v>0.25</v>
      </c>
    </row>
    <row r="59" spans="1:111" s="65" customFormat="1" ht="23.25" customHeight="1" x14ac:dyDescent="0.2">
      <c r="A59" s="51"/>
      <c r="B59" s="31">
        <v>9</v>
      </c>
      <c r="C59" s="30">
        <f t="shared" si="0"/>
        <v>0</v>
      </c>
      <c r="D59" s="39" t="str">
        <f t="shared" si="1"/>
        <v/>
      </c>
      <c r="E59" s="42"/>
      <c r="F59" s="218"/>
      <c r="G59" s="219"/>
      <c r="H59" s="185"/>
      <c r="I59" s="186"/>
      <c r="J59" s="186"/>
      <c r="K59" s="186"/>
      <c r="L59" s="186"/>
      <c r="M59" s="187"/>
      <c r="N59" s="185"/>
      <c r="O59" s="186"/>
      <c r="P59" s="186"/>
      <c r="Q59" s="186"/>
      <c r="R59" s="186"/>
      <c r="S59" s="187"/>
      <c r="T59" s="185"/>
      <c r="U59" s="186"/>
      <c r="V59" s="186"/>
      <c r="W59" s="186"/>
      <c r="X59" s="186"/>
      <c r="Y59" s="187"/>
      <c r="Z59" s="185"/>
      <c r="AA59" s="186"/>
      <c r="AB59" s="186"/>
      <c r="AC59" s="186"/>
      <c r="AD59" s="186"/>
      <c r="AE59" s="187"/>
      <c r="AF59" s="185"/>
      <c r="AG59" s="186"/>
      <c r="AH59" s="186"/>
      <c r="AI59" s="186"/>
      <c r="AJ59" s="186"/>
      <c r="AK59" s="187"/>
      <c r="AL59" s="185"/>
      <c r="AM59" s="186"/>
      <c r="AN59" s="186"/>
      <c r="AO59" s="186"/>
      <c r="AP59" s="186"/>
      <c r="AQ59" s="187"/>
      <c r="AR59" s="185"/>
      <c r="AS59" s="186"/>
      <c r="AT59" s="186"/>
      <c r="AU59" s="186"/>
      <c r="AV59" s="186"/>
      <c r="AW59" s="187"/>
      <c r="AX59" s="185"/>
      <c r="AY59" s="186"/>
      <c r="AZ59" s="186"/>
      <c r="BA59" s="186"/>
      <c r="BB59" s="186"/>
      <c r="BC59" s="187"/>
      <c r="BD59" s="185"/>
      <c r="BE59" s="186"/>
      <c r="BF59" s="186"/>
      <c r="BG59" s="186"/>
      <c r="BH59" s="186"/>
      <c r="BI59" s="187"/>
      <c r="BJ59" s="185"/>
      <c r="BK59" s="186"/>
      <c r="BL59" s="186"/>
      <c r="BM59" s="186"/>
      <c r="BN59" s="186"/>
      <c r="BO59" s="187"/>
      <c r="BP59" s="185"/>
      <c r="BQ59" s="186"/>
      <c r="BR59" s="186"/>
      <c r="BS59" s="186"/>
      <c r="BT59" s="186"/>
      <c r="BU59" s="187"/>
      <c r="BV59" s="185"/>
      <c r="BW59" s="186"/>
      <c r="BX59" s="186"/>
      <c r="BY59" s="186"/>
      <c r="BZ59" s="186"/>
      <c r="CA59" s="187"/>
      <c r="CB59" s="185"/>
      <c r="CC59" s="186"/>
      <c r="CD59" s="186"/>
      <c r="CE59" s="186"/>
      <c r="CF59" s="186"/>
      <c r="CG59" s="187"/>
      <c r="CH59" s="185"/>
      <c r="CI59" s="186"/>
      <c r="CJ59" s="186"/>
      <c r="CK59" s="186"/>
      <c r="CL59" s="186"/>
      <c r="CM59" s="187"/>
      <c r="CN59" s="185"/>
      <c r="CO59" s="186"/>
      <c r="CP59" s="186"/>
      <c r="CQ59" s="186"/>
      <c r="CR59" s="186"/>
      <c r="CS59" s="187"/>
      <c r="CT59" s="45"/>
      <c r="CU59" s="45"/>
      <c r="CV59" s="45"/>
      <c r="CW59" s="45"/>
      <c r="CX59" s="45"/>
      <c r="CY59" s="45"/>
      <c r="CZ59" s="55"/>
      <c r="DA59" s="53"/>
      <c r="DB59" s="53"/>
      <c r="DC59" s="53"/>
      <c r="DD59" s="53"/>
      <c r="DE59" s="56"/>
      <c r="DF59" s="51"/>
      <c r="DG59" s="83">
        <f t="shared" si="2"/>
        <v>0.15</v>
      </c>
    </row>
    <row r="60" spans="1:111" s="65" customFormat="1" ht="23.25" customHeight="1" x14ac:dyDescent="0.2">
      <c r="A60" s="51"/>
      <c r="B60" s="31">
        <v>10</v>
      </c>
      <c r="C60" s="30">
        <f t="shared" si="0"/>
        <v>0</v>
      </c>
      <c r="D60" s="39" t="str">
        <f t="shared" si="1"/>
        <v/>
      </c>
      <c r="E60" s="42"/>
      <c r="F60" s="218"/>
      <c r="G60" s="219"/>
      <c r="H60" s="185"/>
      <c r="I60" s="186"/>
      <c r="J60" s="186"/>
      <c r="K60" s="186"/>
      <c r="L60" s="186"/>
      <c r="M60" s="187"/>
      <c r="N60" s="185"/>
      <c r="O60" s="186"/>
      <c r="P60" s="186"/>
      <c r="Q60" s="186"/>
      <c r="R60" s="186"/>
      <c r="S60" s="187"/>
      <c r="T60" s="185"/>
      <c r="U60" s="186"/>
      <c r="V60" s="186"/>
      <c r="W60" s="186"/>
      <c r="X60" s="186"/>
      <c r="Y60" s="187"/>
      <c r="Z60" s="185"/>
      <c r="AA60" s="186"/>
      <c r="AB60" s="186"/>
      <c r="AC60" s="186"/>
      <c r="AD60" s="186"/>
      <c r="AE60" s="187"/>
      <c r="AF60" s="185"/>
      <c r="AG60" s="186"/>
      <c r="AH60" s="186"/>
      <c r="AI60" s="186"/>
      <c r="AJ60" s="186"/>
      <c r="AK60" s="187"/>
      <c r="AL60" s="185"/>
      <c r="AM60" s="186"/>
      <c r="AN60" s="186"/>
      <c r="AO60" s="186"/>
      <c r="AP60" s="186"/>
      <c r="AQ60" s="187"/>
      <c r="AR60" s="185"/>
      <c r="AS60" s="186"/>
      <c r="AT60" s="186"/>
      <c r="AU60" s="186"/>
      <c r="AV60" s="186"/>
      <c r="AW60" s="187"/>
      <c r="AX60" s="185"/>
      <c r="AY60" s="186"/>
      <c r="AZ60" s="186"/>
      <c r="BA60" s="186"/>
      <c r="BB60" s="186"/>
      <c r="BC60" s="187"/>
      <c r="BD60" s="185"/>
      <c r="BE60" s="186"/>
      <c r="BF60" s="186"/>
      <c r="BG60" s="186"/>
      <c r="BH60" s="186"/>
      <c r="BI60" s="187"/>
      <c r="BJ60" s="185"/>
      <c r="BK60" s="186"/>
      <c r="BL60" s="186"/>
      <c r="BM60" s="186"/>
      <c r="BN60" s="186"/>
      <c r="BO60" s="187"/>
      <c r="BP60" s="185"/>
      <c r="BQ60" s="186"/>
      <c r="BR60" s="186"/>
      <c r="BS60" s="186"/>
      <c r="BT60" s="186"/>
      <c r="BU60" s="187"/>
      <c r="BV60" s="185"/>
      <c r="BW60" s="186"/>
      <c r="BX60" s="186"/>
      <c r="BY60" s="186"/>
      <c r="BZ60" s="186"/>
      <c r="CA60" s="187"/>
      <c r="CB60" s="185"/>
      <c r="CC60" s="186"/>
      <c r="CD60" s="186"/>
      <c r="CE60" s="186"/>
      <c r="CF60" s="186"/>
      <c r="CG60" s="187"/>
      <c r="CH60" s="185"/>
      <c r="CI60" s="186"/>
      <c r="CJ60" s="186"/>
      <c r="CK60" s="186"/>
      <c r="CL60" s="186"/>
      <c r="CM60" s="187"/>
      <c r="CN60" s="185"/>
      <c r="CO60" s="186"/>
      <c r="CP60" s="186"/>
      <c r="CQ60" s="186"/>
      <c r="CR60" s="186"/>
      <c r="CS60" s="187"/>
      <c r="CT60" s="45"/>
      <c r="CU60" s="45"/>
      <c r="CV60" s="45"/>
      <c r="CW60" s="45"/>
      <c r="CX60" s="45"/>
      <c r="CY60" s="45"/>
      <c r="CZ60" s="62"/>
      <c r="DA60" s="63"/>
      <c r="DB60" s="63"/>
      <c r="DC60" s="63"/>
      <c r="DD60" s="63"/>
      <c r="DE60" s="64"/>
      <c r="DF60" s="51"/>
      <c r="DG60" s="83">
        <f t="shared" si="2"/>
        <v>0.05</v>
      </c>
    </row>
    <row r="61" spans="1:111" s="65" customFormat="1" ht="84.75" customHeight="1" x14ac:dyDescent="0.25">
      <c r="A61" s="51"/>
      <c r="B61" s="51"/>
      <c r="C61" s="51"/>
      <c r="D61" s="52"/>
      <c r="E61" s="52"/>
      <c r="F61" s="221" t="s">
        <v>9</v>
      </c>
      <c r="G61" s="222"/>
      <c r="H61" s="159"/>
      <c r="I61" s="160"/>
      <c r="J61" s="160"/>
      <c r="K61" s="160"/>
      <c r="L61" s="160"/>
      <c r="M61" s="161"/>
      <c r="N61" s="159"/>
      <c r="O61" s="160"/>
      <c r="P61" s="160"/>
      <c r="Q61" s="160"/>
      <c r="R61" s="160"/>
      <c r="S61" s="161"/>
      <c r="T61" s="159"/>
      <c r="U61" s="160"/>
      <c r="V61" s="160"/>
      <c r="W61" s="160"/>
      <c r="X61" s="160"/>
      <c r="Y61" s="161"/>
      <c r="Z61" s="159"/>
      <c r="AA61" s="160"/>
      <c r="AB61" s="160"/>
      <c r="AC61" s="160"/>
      <c r="AD61" s="160"/>
      <c r="AE61" s="161"/>
      <c r="AF61" s="159"/>
      <c r="AG61" s="160"/>
      <c r="AH61" s="160"/>
      <c r="AI61" s="160"/>
      <c r="AJ61" s="160"/>
      <c r="AK61" s="161"/>
      <c r="AL61" s="159"/>
      <c r="AM61" s="160"/>
      <c r="AN61" s="160"/>
      <c r="AO61" s="160"/>
      <c r="AP61" s="160"/>
      <c r="AQ61" s="161"/>
      <c r="AR61" s="159"/>
      <c r="AS61" s="160"/>
      <c r="AT61" s="160"/>
      <c r="AU61" s="160"/>
      <c r="AV61" s="160"/>
      <c r="AW61" s="161"/>
      <c r="AX61" s="159"/>
      <c r="AY61" s="160"/>
      <c r="AZ61" s="160"/>
      <c r="BA61" s="160"/>
      <c r="BB61" s="160"/>
      <c r="BC61" s="161"/>
      <c r="BD61" s="159"/>
      <c r="BE61" s="160"/>
      <c r="BF61" s="160"/>
      <c r="BG61" s="160"/>
      <c r="BH61" s="160"/>
      <c r="BI61" s="161"/>
      <c r="BJ61" s="159"/>
      <c r="BK61" s="160"/>
      <c r="BL61" s="160"/>
      <c r="BM61" s="160"/>
      <c r="BN61" s="160"/>
      <c r="BO61" s="161"/>
      <c r="BP61" s="159"/>
      <c r="BQ61" s="160"/>
      <c r="BR61" s="160"/>
      <c r="BS61" s="160"/>
      <c r="BT61" s="160"/>
      <c r="BU61" s="161"/>
      <c r="BV61" s="159"/>
      <c r="BW61" s="160"/>
      <c r="BX61" s="160"/>
      <c r="BY61" s="160"/>
      <c r="BZ61" s="160"/>
      <c r="CA61" s="161"/>
      <c r="CB61" s="159"/>
      <c r="CC61" s="160"/>
      <c r="CD61" s="160"/>
      <c r="CE61" s="160"/>
      <c r="CF61" s="160"/>
      <c r="CG61" s="161"/>
      <c r="CH61" s="159"/>
      <c r="CI61" s="160"/>
      <c r="CJ61" s="160"/>
      <c r="CK61" s="160"/>
      <c r="CL61" s="160"/>
      <c r="CM61" s="161"/>
      <c r="CN61" s="214"/>
      <c r="CO61" s="214"/>
      <c r="CP61" s="214"/>
      <c r="CQ61" s="214"/>
      <c r="CR61" s="214"/>
      <c r="CS61" s="214"/>
      <c r="CT61" s="51"/>
      <c r="CU61" s="51"/>
      <c r="CV61" s="51"/>
      <c r="CW61" s="51"/>
      <c r="CX61" s="51"/>
      <c r="CY61" s="51"/>
      <c r="CZ61" s="51"/>
      <c r="DA61" s="51"/>
      <c r="DB61" s="51"/>
      <c r="DC61" s="51"/>
      <c r="DD61" s="51"/>
      <c r="DE61" s="51"/>
      <c r="DF61" s="51"/>
      <c r="DG61" s="84"/>
    </row>
    <row r="62" spans="1:111" s="65" customFormat="1" ht="22.5" customHeight="1" x14ac:dyDescent="0.25">
      <c r="A62" s="51"/>
      <c r="B62" s="51"/>
      <c r="C62" s="51"/>
      <c r="D62" s="52"/>
      <c r="E62" s="52"/>
      <c r="F62" s="170" t="s">
        <v>36</v>
      </c>
      <c r="G62" s="220"/>
      <c r="H62" s="173"/>
      <c r="I62" s="174"/>
      <c r="J62" s="174"/>
      <c r="K62" s="174"/>
      <c r="L62" s="174"/>
      <c r="M62" s="175"/>
      <c r="N62" s="173"/>
      <c r="O62" s="174"/>
      <c r="P62" s="174"/>
      <c r="Q62" s="174"/>
      <c r="R62" s="174"/>
      <c r="S62" s="175"/>
      <c r="T62" s="173"/>
      <c r="U62" s="174"/>
      <c r="V62" s="174"/>
      <c r="W62" s="174"/>
      <c r="X62" s="174"/>
      <c r="Y62" s="175"/>
      <c r="Z62" s="173"/>
      <c r="AA62" s="174"/>
      <c r="AB62" s="174"/>
      <c r="AC62" s="174"/>
      <c r="AD62" s="174"/>
      <c r="AE62" s="175"/>
      <c r="AF62" s="173"/>
      <c r="AG62" s="174"/>
      <c r="AH62" s="174"/>
      <c r="AI62" s="174"/>
      <c r="AJ62" s="174"/>
      <c r="AK62" s="175"/>
      <c r="AL62" s="173"/>
      <c r="AM62" s="174"/>
      <c r="AN62" s="174"/>
      <c r="AO62" s="174"/>
      <c r="AP62" s="174"/>
      <c r="AQ62" s="175"/>
      <c r="AR62" s="173"/>
      <c r="AS62" s="174"/>
      <c r="AT62" s="174"/>
      <c r="AU62" s="174"/>
      <c r="AV62" s="174"/>
      <c r="AW62" s="175"/>
      <c r="AX62" s="173"/>
      <c r="AY62" s="174"/>
      <c r="AZ62" s="174"/>
      <c r="BA62" s="174"/>
      <c r="BB62" s="174"/>
      <c r="BC62" s="175"/>
      <c r="BD62" s="173"/>
      <c r="BE62" s="174"/>
      <c r="BF62" s="174"/>
      <c r="BG62" s="174"/>
      <c r="BH62" s="174"/>
      <c r="BI62" s="175"/>
      <c r="BJ62" s="173"/>
      <c r="BK62" s="174"/>
      <c r="BL62" s="174"/>
      <c r="BM62" s="174"/>
      <c r="BN62" s="174"/>
      <c r="BO62" s="175"/>
      <c r="BP62" s="173"/>
      <c r="BQ62" s="174"/>
      <c r="BR62" s="174"/>
      <c r="BS62" s="174"/>
      <c r="BT62" s="174"/>
      <c r="BU62" s="175"/>
      <c r="BV62" s="173"/>
      <c r="BW62" s="174"/>
      <c r="BX62" s="174"/>
      <c r="BY62" s="174"/>
      <c r="BZ62" s="174"/>
      <c r="CA62" s="175"/>
      <c r="CB62" s="173"/>
      <c r="CC62" s="174"/>
      <c r="CD62" s="174"/>
      <c r="CE62" s="174"/>
      <c r="CF62" s="174"/>
      <c r="CG62" s="175"/>
      <c r="CH62" s="173"/>
      <c r="CI62" s="174"/>
      <c r="CJ62" s="174"/>
      <c r="CK62" s="174"/>
      <c r="CL62" s="174"/>
      <c r="CM62" s="175"/>
      <c r="CN62" s="213"/>
      <c r="CO62" s="213"/>
      <c r="CP62" s="213"/>
      <c r="CQ62" s="213"/>
      <c r="CR62" s="213"/>
      <c r="CS62" s="213"/>
      <c r="CT62" s="51"/>
      <c r="CU62" s="51"/>
      <c r="CV62" s="51"/>
      <c r="CW62" s="51"/>
      <c r="CX62" s="51"/>
      <c r="CY62" s="51"/>
      <c r="CZ62" s="51"/>
      <c r="DA62" s="51"/>
      <c r="DB62" s="51"/>
      <c r="DC62" s="51"/>
      <c r="DD62" s="51"/>
      <c r="DE62" s="51"/>
      <c r="DF62" s="51"/>
      <c r="DG62" s="85"/>
    </row>
    <row r="63" spans="1:111" s="65" customFormat="1" ht="14.25" customHeight="1" x14ac:dyDescent="0.25">
      <c r="A63" s="51"/>
      <c r="B63" s="51"/>
      <c r="C63" s="51"/>
      <c r="D63" s="52"/>
      <c r="E63" s="52"/>
      <c r="F63" s="170" t="s">
        <v>3</v>
      </c>
      <c r="G63" s="220"/>
      <c r="H63" s="182">
        <f>MAX(H69:M78)</f>
        <v>0</v>
      </c>
      <c r="I63" s="183"/>
      <c r="J63" s="183"/>
      <c r="K63" s="183"/>
      <c r="L63" s="183"/>
      <c r="M63" s="184"/>
      <c r="N63" s="182">
        <f>MAX(N69:S78)</f>
        <v>0</v>
      </c>
      <c r="O63" s="183"/>
      <c r="P63" s="183"/>
      <c r="Q63" s="183"/>
      <c r="R63" s="183"/>
      <c r="S63" s="184"/>
      <c r="T63" s="182">
        <f>MAX(T69:Y78)</f>
        <v>0</v>
      </c>
      <c r="U63" s="183"/>
      <c r="V63" s="183"/>
      <c r="W63" s="183"/>
      <c r="X63" s="183"/>
      <c r="Y63" s="184"/>
      <c r="Z63" s="182">
        <f>MAX(Z69:AE78)</f>
        <v>0</v>
      </c>
      <c r="AA63" s="183"/>
      <c r="AB63" s="183"/>
      <c r="AC63" s="183"/>
      <c r="AD63" s="183"/>
      <c r="AE63" s="184"/>
      <c r="AF63" s="182">
        <f>MAX(AF69:AK78)</f>
        <v>0</v>
      </c>
      <c r="AG63" s="183"/>
      <c r="AH63" s="183"/>
      <c r="AI63" s="183"/>
      <c r="AJ63" s="183"/>
      <c r="AK63" s="184"/>
      <c r="AL63" s="182">
        <f>MAX(AL69:AQ78)</f>
        <v>0</v>
      </c>
      <c r="AM63" s="183"/>
      <c r="AN63" s="183"/>
      <c r="AO63" s="183"/>
      <c r="AP63" s="183"/>
      <c r="AQ63" s="184"/>
      <c r="AR63" s="182">
        <f>MAX(AR69:AW78)</f>
        <v>0</v>
      </c>
      <c r="AS63" s="183"/>
      <c r="AT63" s="183"/>
      <c r="AU63" s="183"/>
      <c r="AV63" s="183"/>
      <c r="AW63" s="184"/>
      <c r="AX63" s="182">
        <f>MAX(AX69:BC78)</f>
        <v>0</v>
      </c>
      <c r="AY63" s="183"/>
      <c r="AZ63" s="183"/>
      <c r="BA63" s="183"/>
      <c r="BB63" s="183"/>
      <c r="BC63" s="184"/>
      <c r="BD63" s="182">
        <f>MAX(BD69:BI78)</f>
        <v>0</v>
      </c>
      <c r="BE63" s="183"/>
      <c r="BF63" s="183"/>
      <c r="BG63" s="183"/>
      <c r="BH63" s="183"/>
      <c r="BI63" s="184"/>
      <c r="BJ63" s="182">
        <f>MAX(BJ69:BO78)</f>
        <v>0</v>
      </c>
      <c r="BK63" s="183"/>
      <c r="BL63" s="183"/>
      <c r="BM63" s="183"/>
      <c r="BN63" s="183"/>
      <c r="BO63" s="184"/>
      <c r="BP63" s="182">
        <f>MAX(BP69:BU78)</f>
        <v>0</v>
      </c>
      <c r="BQ63" s="183"/>
      <c r="BR63" s="183"/>
      <c r="BS63" s="183"/>
      <c r="BT63" s="183"/>
      <c r="BU63" s="184"/>
      <c r="BV63" s="182">
        <f>MAX(BV69:CA78)</f>
        <v>0</v>
      </c>
      <c r="BW63" s="183"/>
      <c r="BX63" s="183"/>
      <c r="BY63" s="183"/>
      <c r="BZ63" s="183"/>
      <c r="CA63" s="184"/>
      <c r="CB63" s="182">
        <f>MAX(CB69:CG78)</f>
        <v>0</v>
      </c>
      <c r="CC63" s="183"/>
      <c r="CD63" s="183"/>
      <c r="CE63" s="183"/>
      <c r="CF63" s="183"/>
      <c r="CG63" s="184"/>
      <c r="CH63" s="182">
        <f>MAX(CH69:CM78)</f>
        <v>0</v>
      </c>
      <c r="CI63" s="183"/>
      <c r="CJ63" s="183"/>
      <c r="CK63" s="183"/>
      <c r="CL63" s="183"/>
      <c r="CM63" s="184"/>
      <c r="CN63" s="182">
        <f>MAX(CN69:CS78)</f>
        <v>0</v>
      </c>
      <c r="CO63" s="183"/>
      <c r="CP63" s="183"/>
      <c r="CQ63" s="183"/>
      <c r="CR63" s="183"/>
      <c r="CS63" s="184"/>
      <c r="CT63" s="51"/>
      <c r="CU63" s="51"/>
      <c r="CV63" s="51"/>
      <c r="CW63" s="51"/>
      <c r="CX63" s="51"/>
      <c r="CY63" s="51"/>
      <c r="CZ63" s="51"/>
      <c r="DA63" s="51"/>
      <c r="DB63" s="51"/>
      <c r="DC63" s="51"/>
      <c r="DD63" s="51"/>
      <c r="DE63" s="51"/>
      <c r="DF63" s="51"/>
      <c r="DG63" s="86"/>
    </row>
    <row r="64" spans="1:111" s="65" customFormat="1" ht="14.25" customHeight="1" x14ac:dyDescent="0.25">
      <c r="A64" s="51"/>
      <c r="B64" s="51"/>
      <c r="C64" s="51"/>
      <c r="D64" s="52"/>
      <c r="E64" s="52"/>
      <c r="F64" s="170" t="s">
        <v>29</v>
      </c>
      <c r="G64" s="220"/>
      <c r="H64" s="179">
        <f>SUM($D69*H69,$D70*H70,$D71*H71,$D72*H72,$D73*H73,$D74*H74,$D75*H75,$D76*H76,$D77*H77,$D78*H78)</f>
        <v>0</v>
      </c>
      <c r="I64" s="180"/>
      <c r="J64" s="180"/>
      <c r="K64" s="180"/>
      <c r="L64" s="180"/>
      <c r="M64" s="181"/>
      <c r="N64" s="179">
        <f>SUM($D69*N69,$D70*N70,$D71*N71,$D72*N72,$D73*N73,$D74*N74,$D75*N75,$D76*N76,$D77*N77,$D78*N78)</f>
        <v>0</v>
      </c>
      <c r="O64" s="180"/>
      <c r="P64" s="180"/>
      <c r="Q64" s="180"/>
      <c r="R64" s="180"/>
      <c r="S64" s="181"/>
      <c r="T64" s="179">
        <f>SUM($D69*T69,$D70*T70,$D71*T71,$D72*T72,$D73*T73,$D74*T74,$D75*T75,$D76*T76,$D77*T77,$D78*T78)</f>
        <v>0</v>
      </c>
      <c r="U64" s="180"/>
      <c r="V64" s="180"/>
      <c r="W64" s="180"/>
      <c r="X64" s="180"/>
      <c r="Y64" s="181"/>
      <c r="Z64" s="179">
        <f>SUM($D69*Z69,$D70*Z70,$D71*Z71,$D72*Z72,$D73*Z73,$D74*Z74,$D75*Z75,$D76*Z76,$D77*Z77,$D78*Z78)</f>
        <v>0</v>
      </c>
      <c r="AA64" s="180"/>
      <c r="AB64" s="180"/>
      <c r="AC64" s="180"/>
      <c r="AD64" s="180"/>
      <c r="AE64" s="181"/>
      <c r="AF64" s="179">
        <f>SUM($D69*AF69,$D70*AF70,$D71*AF71,$D72*AF72,$D73*AF73,$D74*AF74,$D75*AF75,$D76*AF76,$D77*AF77,$D78*AF78)</f>
        <v>0</v>
      </c>
      <c r="AG64" s="180"/>
      <c r="AH64" s="180"/>
      <c r="AI64" s="180"/>
      <c r="AJ64" s="180"/>
      <c r="AK64" s="181"/>
      <c r="AL64" s="179">
        <f>SUM($D69*AL69,$D70*AL70,$D71*AL71,$D72*AL72,$D73*AL73,$D74*AL74,$D75*AL75,$D76*AL76,$D77*AL77,$D78*AL78)</f>
        <v>0</v>
      </c>
      <c r="AM64" s="180"/>
      <c r="AN64" s="180"/>
      <c r="AO64" s="180"/>
      <c r="AP64" s="180"/>
      <c r="AQ64" s="181"/>
      <c r="AR64" s="179">
        <f>SUM($D69*AR69,$D70*AR70,$D71*AR71,$D72*AR72,$D73*AR73,$D74*AR74,$D75*AR75,$D76*AR76,$D77*AR77,$D78*AR78)</f>
        <v>0</v>
      </c>
      <c r="AS64" s="180"/>
      <c r="AT64" s="180"/>
      <c r="AU64" s="180"/>
      <c r="AV64" s="180"/>
      <c r="AW64" s="181"/>
      <c r="AX64" s="179">
        <f>SUM($D69*AX69,$D70*AX70,$D71*AX71,$D72*AX72,$D73*AX73,$D74*AX74,$D75*AX75,$D76*AX76,$D77*AX77,$D78*AX78)</f>
        <v>0</v>
      </c>
      <c r="AY64" s="180"/>
      <c r="AZ64" s="180"/>
      <c r="BA64" s="180"/>
      <c r="BB64" s="180"/>
      <c r="BC64" s="181"/>
      <c r="BD64" s="179">
        <f>SUM($D69*BD69,$D70*BD70,$D71*BD71,$D72*BD72,$D73*BD73,$D74*BD74,$D75*BD75,$D76*BD76,$D77*BD77,$D78*BD78)</f>
        <v>0</v>
      </c>
      <c r="BE64" s="180"/>
      <c r="BF64" s="180"/>
      <c r="BG64" s="180"/>
      <c r="BH64" s="180"/>
      <c r="BI64" s="181"/>
      <c r="BJ64" s="179">
        <f>SUM($D69*BJ69,$D70*BJ70,$D71*BJ71,$D72*BJ72,$D73*BJ73,$D74*BJ74,$D75*BJ75,$D76*BJ76,$D77*BJ77,$D78*BJ78)</f>
        <v>0</v>
      </c>
      <c r="BK64" s="180"/>
      <c r="BL64" s="180"/>
      <c r="BM64" s="180"/>
      <c r="BN64" s="180"/>
      <c r="BO64" s="181"/>
      <c r="BP64" s="179">
        <f>SUM($D69*BP69,$D70*BP70,$D71*BP71,$D72*BP72,$D73*BP73,$D74*BP74,$D75*BP75,$D76*BP76,$D77*BP77,$D78*BP78)</f>
        <v>0</v>
      </c>
      <c r="BQ64" s="180"/>
      <c r="BR64" s="180"/>
      <c r="BS64" s="180"/>
      <c r="BT64" s="180"/>
      <c r="BU64" s="181"/>
      <c r="BV64" s="179">
        <f>SUM($D69*BV69,$D70*BV70,$D71*BV71,$D72*BV72,$D73*BV73,$D74*BV74,$D75*BV75,$D76*BV76,$D77*BV77,$D78*BV78)</f>
        <v>0</v>
      </c>
      <c r="BW64" s="180"/>
      <c r="BX64" s="180"/>
      <c r="BY64" s="180"/>
      <c r="BZ64" s="180"/>
      <c r="CA64" s="181"/>
      <c r="CB64" s="179">
        <f>SUM($D69*CB69,$D70*CB70,$D71*CB71,$D72*CB72,$D73*CB73,$D74*CB74,$D75*CB75,$D76*CB76,$D77*CB77,$D78*CB78)</f>
        <v>0</v>
      </c>
      <c r="CC64" s="180"/>
      <c r="CD64" s="180"/>
      <c r="CE64" s="180"/>
      <c r="CF64" s="180"/>
      <c r="CG64" s="181"/>
      <c r="CH64" s="179">
        <f>SUM($D69*CH69,$D70*CH70,$D71*CH71,$D72*CH72,$D73*CH73,$D74*CH74,$D75*CH75,$D76*CH76,$D77*CH77,$D78*CH78)</f>
        <v>0</v>
      </c>
      <c r="CI64" s="180"/>
      <c r="CJ64" s="180"/>
      <c r="CK64" s="180"/>
      <c r="CL64" s="180"/>
      <c r="CM64" s="181"/>
      <c r="CN64" s="179">
        <f>SUM($D69*CN69,$D70*CN70,$D71*CN71,$D72*CN72,$D73*CN73,$D74*CN74,$D75*CN75,$D76*CN76,$D77*CN77,$D78*CN78)</f>
        <v>0</v>
      </c>
      <c r="CO64" s="180"/>
      <c r="CP64" s="180"/>
      <c r="CQ64" s="180"/>
      <c r="CR64" s="180"/>
      <c r="CS64" s="181"/>
      <c r="CT64" s="51"/>
      <c r="CU64" s="51"/>
      <c r="CV64" s="51"/>
      <c r="CW64" s="51"/>
      <c r="CX64" s="51"/>
      <c r="CY64" s="51"/>
      <c r="CZ64" s="51"/>
      <c r="DA64" s="51"/>
      <c r="DB64" s="51"/>
      <c r="DC64" s="51"/>
      <c r="DD64" s="51"/>
      <c r="DE64" s="51"/>
      <c r="DF64" s="51"/>
      <c r="DG64" s="87"/>
    </row>
    <row r="65" spans="1:111" s="65" customFormat="1" ht="14.25" customHeight="1" x14ac:dyDescent="0.25">
      <c r="A65" s="51"/>
      <c r="B65" s="51"/>
      <c r="C65" s="51"/>
      <c r="D65" s="52"/>
      <c r="E65" s="52"/>
      <c r="F65" s="170" t="s">
        <v>1</v>
      </c>
      <c r="G65" s="220"/>
      <c r="H65" s="176" t="str">
        <f>IF(H$64&gt;0,(H$64/SUM($64:$64))*100, "")</f>
        <v/>
      </c>
      <c r="I65" s="177"/>
      <c r="J65" s="177"/>
      <c r="K65" s="177"/>
      <c r="L65" s="177"/>
      <c r="M65" s="178"/>
      <c r="N65" s="176" t="str">
        <f>IF(N$64&gt;0,(N$64/SUM($64:$64))*100, "")</f>
        <v/>
      </c>
      <c r="O65" s="177"/>
      <c r="P65" s="177"/>
      <c r="Q65" s="177"/>
      <c r="R65" s="177"/>
      <c r="S65" s="178"/>
      <c r="T65" s="176" t="str">
        <f>IF(T$64&gt;0,(T$64/SUM($64:$64))*100, "")</f>
        <v/>
      </c>
      <c r="U65" s="177"/>
      <c r="V65" s="177"/>
      <c r="W65" s="177"/>
      <c r="X65" s="177"/>
      <c r="Y65" s="178"/>
      <c r="Z65" s="176" t="str">
        <f>IF(Z$64&gt;0,(Z$64/SUM($64:$64))*100, "")</f>
        <v/>
      </c>
      <c r="AA65" s="177"/>
      <c r="AB65" s="177"/>
      <c r="AC65" s="177"/>
      <c r="AD65" s="177"/>
      <c r="AE65" s="178"/>
      <c r="AF65" s="176" t="str">
        <f>IF(AF$64&gt;0,(AF$64/SUM($64:$64))*100, "")</f>
        <v/>
      </c>
      <c r="AG65" s="177"/>
      <c r="AH65" s="177"/>
      <c r="AI65" s="177"/>
      <c r="AJ65" s="177"/>
      <c r="AK65" s="178"/>
      <c r="AL65" s="176" t="str">
        <f>IF(AL$64&gt;0,(AL$64/SUM($64:$64))*100, "")</f>
        <v/>
      </c>
      <c r="AM65" s="177"/>
      <c r="AN65" s="177"/>
      <c r="AO65" s="177"/>
      <c r="AP65" s="177"/>
      <c r="AQ65" s="178"/>
      <c r="AR65" s="176" t="str">
        <f>IF(AR$64&gt;0,(AR$64/SUM($64:$64))*100, "")</f>
        <v/>
      </c>
      <c r="AS65" s="177"/>
      <c r="AT65" s="177"/>
      <c r="AU65" s="177"/>
      <c r="AV65" s="177"/>
      <c r="AW65" s="178"/>
      <c r="AX65" s="176" t="str">
        <f>IF(AX$64&gt;0,(AX$64/SUM($64:$64))*100, "")</f>
        <v/>
      </c>
      <c r="AY65" s="177"/>
      <c r="AZ65" s="177"/>
      <c r="BA65" s="177"/>
      <c r="BB65" s="177"/>
      <c r="BC65" s="178"/>
      <c r="BD65" s="176" t="str">
        <f>IF(BD$64&gt;0,(BD$64/SUM($64:$64))*100, "")</f>
        <v/>
      </c>
      <c r="BE65" s="177"/>
      <c r="BF65" s="177"/>
      <c r="BG65" s="177"/>
      <c r="BH65" s="177"/>
      <c r="BI65" s="178"/>
      <c r="BJ65" s="176" t="str">
        <f>IF(BJ$64&gt;0,(BJ$64/SUM($64:$64))*100, "")</f>
        <v/>
      </c>
      <c r="BK65" s="177"/>
      <c r="BL65" s="177"/>
      <c r="BM65" s="177"/>
      <c r="BN65" s="177"/>
      <c r="BO65" s="178"/>
      <c r="BP65" s="176" t="str">
        <f>IF(BP$64&gt;0,(BP$64/SUM($64:$64))*100, "")</f>
        <v/>
      </c>
      <c r="BQ65" s="177"/>
      <c r="BR65" s="177"/>
      <c r="BS65" s="177"/>
      <c r="BT65" s="177"/>
      <c r="BU65" s="178"/>
      <c r="BV65" s="176" t="str">
        <f>IF(BV$64&gt;0,(BV$64/SUM($64:$64))*100, "")</f>
        <v/>
      </c>
      <c r="BW65" s="177"/>
      <c r="BX65" s="177"/>
      <c r="BY65" s="177"/>
      <c r="BZ65" s="177"/>
      <c r="CA65" s="178"/>
      <c r="CB65" s="176" t="str">
        <f>IF(CB$64&gt;0,(CB$64/SUM($64:$64))*100, "")</f>
        <v/>
      </c>
      <c r="CC65" s="177"/>
      <c r="CD65" s="177"/>
      <c r="CE65" s="177"/>
      <c r="CF65" s="177"/>
      <c r="CG65" s="178"/>
      <c r="CH65" s="176" t="str">
        <f>IF(CH$64&gt;0,(CH$64/SUM($64:$64))*100, "")</f>
        <v/>
      </c>
      <c r="CI65" s="177"/>
      <c r="CJ65" s="177"/>
      <c r="CK65" s="177"/>
      <c r="CL65" s="177"/>
      <c r="CM65" s="178"/>
      <c r="CN65" s="176" t="str">
        <f>IF(CN$64&gt;0,(CN$64/SUM($64:$64))*100, "")</f>
        <v/>
      </c>
      <c r="CO65" s="177"/>
      <c r="CP65" s="177"/>
      <c r="CQ65" s="177"/>
      <c r="CR65" s="177"/>
      <c r="CS65" s="178"/>
      <c r="CT65" s="51"/>
      <c r="CU65" s="168" t="s">
        <v>48</v>
      </c>
      <c r="CV65" s="168"/>
      <c r="CW65" s="168"/>
      <c r="CX65" s="168"/>
      <c r="CY65" s="168"/>
      <c r="CZ65" s="168"/>
      <c r="DA65" s="168"/>
      <c r="DB65" s="168"/>
      <c r="DC65" s="168"/>
      <c r="DD65" s="168"/>
      <c r="DE65" s="168"/>
      <c r="DF65" s="51"/>
      <c r="DG65" s="88"/>
    </row>
    <row r="66" spans="1:111" ht="23.25" customHeight="1" x14ac:dyDescent="0.2">
      <c r="A66" s="17"/>
      <c r="B66" s="47"/>
      <c r="C66" s="47"/>
      <c r="D66" s="48"/>
      <c r="E66" s="48"/>
      <c r="F66" s="215"/>
      <c r="G66" s="215"/>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7"/>
      <c r="AP66" s="57"/>
      <c r="AQ66" s="57"/>
      <c r="AR66" s="57"/>
      <c r="AS66" s="57"/>
      <c r="AT66" s="57"/>
      <c r="AU66" s="57"/>
      <c r="AV66" s="57"/>
      <c r="AW66" s="57"/>
      <c r="AX66" s="57"/>
      <c r="AY66" s="57"/>
      <c r="AZ66" s="57"/>
      <c r="BA66" s="57"/>
      <c r="BB66" s="57"/>
      <c r="BC66" s="57"/>
      <c r="BD66" s="57"/>
      <c r="BE66" s="57"/>
      <c r="BF66" s="57"/>
      <c r="BG66" s="57"/>
      <c r="BH66" s="57"/>
      <c r="BI66" s="57"/>
      <c r="BJ66" s="57"/>
      <c r="BK66" s="57"/>
      <c r="BL66" s="57"/>
      <c r="BM66" s="57"/>
      <c r="BN66" s="57"/>
      <c r="BO66" s="57"/>
      <c r="BP66" s="57"/>
      <c r="BQ66" s="57"/>
      <c r="BR66" s="57"/>
      <c r="BS66" s="57"/>
      <c r="BT66" s="57"/>
      <c r="BU66" s="57"/>
      <c r="BV66" s="57"/>
      <c r="BW66" s="57"/>
      <c r="BX66" s="57"/>
      <c r="BY66" s="57"/>
      <c r="BZ66" s="57"/>
      <c r="CA66" s="57"/>
      <c r="CB66" s="57"/>
      <c r="CC66" s="57"/>
      <c r="CD66" s="57"/>
      <c r="CE66" s="57"/>
      <c r="CF66" s="57"/>
      <c r="CG66" s="57"/>
      <c r="CH66" s="57"/>
      <c r="CI66" s="57"/>
      <c r="CJ66" s="57"/>
      <c r="CK66" s="57"/>
      <c r="CL66" s="57"/>
      <c r="CM66" s="57"/>
      <c r="CN66" s="57"/>
      <c r="CO66" s="57"/>
      <c r="CP66" s="57"/>
      <c r="CQ66" s="57"/>
      <c r="CR66" s="57"/>
      <c r="CS66" s="57"/>
      <c r="CT66" s="17"/>
      <c r="CU66" s="17"/>
      <c r="CV66" s="17"/>
      <c r="CW66" s="17"/>
      <c r="CX66" s="17"/>
      <c r="CY66" s="17"/>
      <c r="CZ66" s="17"/>
      <c r="DA66" s="17"/>
      <c r="DB66" s="17"/>
      <c r="DC66" s="17"/>
      <c r="DD66" s="17"/>
      <c r="DE66" s="17"/>
      <c r="DF66" s="17"/>
      <c r="DG66" s="66"/>
    </row>
    <row r="67" spans="1:111" ht="23.25" customHeight="1" x14ac:dyDescent="0.2">
      <c r="B67" s="29"/>
      <c r="C67" s="29"/>
      <c r="D67" s="40"/>
      <c r="E67" s="40"/>
      <c r="F67" s="188"/>
      <c r="G67" s="188"/>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c r="AJ67" s="66"/>
      <c r="AK67" s="66"/>
      <c r="AL67" s="66"/>
      <c r="AM67" s="66"/>
      <c r="AN67" s="66"/>
      <c r="AO67" s="66"/>
      <c r="AP67" s="66"/>
      <c r="AQ67" s="66"/>
      <c r="AR67" s="66"/>
      <c r="AS67" s="66"/>
      <c r="AT67" s="66"/>
      <c r="AU67" s="66"/>
      <c r="AV67" s="66"/>
      <c r="AW67" s="66"/>
      <c r="AX67" s="66"/>
      <c r="AY67" s="66"/>
      <c r="AZ67" s="66"/>
      <c r="BA67" s="66"/>
      <c r="BB67" s="66"/>
      <c r="BC67" s="66"/>
      <c r="BD67" s="66"/>
      <c r="BE67" s="66"/>
      <c r="BF67" s="66"/>
      <c r="BG67" s="66"/>
      <c r="BH67" s="66"/>
      <c r="BI67" s="66"/>
      <c r="BJ67" s="66"/>
      <c r="BK67" s="66"/>
      <c r="BL67" s="66"/>
      <c r="BM67" s="66"/>
      <c r="BN67" s="66"/>
      <c r="BO67" s="66"/>
      <c r="BP67" s="66"/>
      <c r="BQ67" s="66"/>
      <c r="BR67" s="66"/>
      <c r="BS67" s="66"/>
      <c r="BT67" s="66"/>
      <c r="BU67" s="66"/>
      <c r="BV67" s="66"/>
      <c r="BW67" s="66"/>
      <c r="BX67" s="66"/>
      <c r="BY67" s="66"/>
      <c r="BZ67" s="66"/>
      <c r="CA67" s="66"/>
      <c r="CB67" s="66"/>
      <c r="CC67" s="66"/>
      <c r="CD67" s="66"/>
      <c r="CE67" s="66"/>
      <c r="CF67" s="66"/>
      <c r="CG67" s="66"/>
      <c r="CH67" s="66"/>
      <c r="CI67" s="66"/>
      <c r="CJ67" s="66"/>
      <c r="CK67" s="66"/>
      <c r="CL67" s="66"/>
      <c r="CM67" s="66"/>
      <c r="CN67" s="66"/>
      <c r="CO67" s="66"/>
      <c r="CP67" s="66"/>
      <c r="CQ67" s="66"/>
      <c r="CR67" s="66"/>
      <c r="CS67" s="66"/>
      <c r="DG67" s="66"/>
    </row>
    <row r="68" spans="1:111" ht="23.25" hidden="1" customHeight="1" x14ac:dyDescent="0.2">
      <c r="B68" s="29"/>
      <c r="C68" s="29"/>
      <c r="D68" s="165" t="s">
        <v>50</v>
      </c>
      <c r="E68" s="166"/>
      <c r="F68" s="166"/>
      <c r="G68" s="166"/>
      <c r="H68" s="166"/>
      <c r="I68" s="166"/>
      <c r="J68" s="166"/>
      <c r="K68" s="166"/>
      <c r="L68" s="166"/>
      <c r="M68" s="166"/>
      <c r="N68" s="166"/>
      <c r="O68" s="166"/>
      <c r="P68" s="166"/>
      <c r="Q68" s="166"/>
      <c r="R68" s="166"/>
      <c r="S68" s="166"/>
      <c r="T68" s="166"/>
      <c r="U68" s="166"/>
      <c r="V68" s="166"/>
      <c r="W68" s="166"/>
      <c r="X68" s="166"/>
      <c r="Y68" s="166"/>
      <c r="Z68" s="166"/>
      <c r="AA68" s="166"/>
      <c r="AB68" s="166"/>
      <c r="AC68" s="166"/>
      <c r="AD68" s="166"/>
      <c r="AE68" s="166"/>
      <c r="AF68" s="166"/>
      <c r="AG68" s="166"/>
      <c r="AH68" s="166"/>
      <c r="AI68" s="166"/>
      <c r="AJ68" s="166"/>
      <c r="AK68" s="166"/>
      <c r="AL68" s="166"/>
      <c r="AM68" s="166"/>
      <c r="AN68" s="166"/>
      <c r="AO68" s="166"/>
      <c r="AP68" s="166"/>
      <c r="AQ68" s="166"/>
      <c r="AR68" s="166"/>
      <c r="AS68" s="166"/>
      <c r="AT68" s="166"/>
      <c r="AU68" s="166"/>
      <c r="AV68" s="166"/>
      <c r="AW68" s="166"/>
      <c r="AX68" s="166"/>
      <c r="AY68" s="166"/>
      <c r="AZ68" s="166"/>
      <c r="BA68" s="166"/>
      <c r="BB68" s="166"/>
      <c r="BC68" s="166"/>
      <c r="BD68" s="166"/>
      <c r="BE68" s="166"/>
      <c r="BF68" s="166"/>
      <c r="BG68" s="166"/>
      <c r="BH68" s="166"/>
      <c r="BI68" s="166"/>
      <c r="BJ68" s="166"/>
      <c r="BK68" s="166"/>
      <c r="BL68" s="166"/>
      <c r="BM68" s="166"/>
      <c r="BN68" s="166"/>
      <c r="BO68" s="166"/>
      <c r="BP68" s="166"/>
      <c r="BQ68" s="166"/>
      <c r="BR68" s="166"/>
      <c r="BS68" s="166"/>
      <c r="BT68" s="166"/>
      <c r="BU68" s="166"/>
      <c r="BV68" s="166"/>
      <c r="BW68" s="166"/>
      <c r="BX68" s="166"/>
      <c r="BY68" s="166"/>
      <c r="BZ68" s="166"/>
      <c r="CA68" s="166"/>
      <c r="CB68" s="166"/>
      <c r="CC68" s="166"/>
      <c r="CD68" s="166"/>
      <c r="CE68" s="166"/>
      <c r="CF68" s="166"/>
      <c r="CG68" s="166"/>
      <c r="CH68" s="166"/>
      <c r="CI68" s="166"/>
      <c r="CJ68" s="166"/>
      <c r="CK68" s="166"/>
      <c r="CL68" s="166"/>
      <c r="CM68" s="166"/>
      <c r="CN68" s="166"/>
      <c r="CO68" s="166"/>
      <c r="CP68" s="166"/>
      <c r="CQ68" s="166"/>
      <c r="CR68" s="166"/>
      <c r="CS68" s="167"/>
      <c r="DG68" s="66"/>
    </row>
    <row r="69" spans="1:111" s="46" customFormat="1" ht="23.25" hidden="1" customHeight="1" x14ac:dyDescent="0.25">
      <c r="B69" s="78"/>
      <c r="C69" s="78"/>
      <c r="D69" s="43">
        <f t="shared" ref="D69:D78" si="3">IF($D51&lt;&gt;"",$D51,0)</f>
        <v>0</v>
      </c>
      <c r="E69" s="44"/>
      <c r="F69" s="216"/>
      <c r="G69" s="217"/>
      <c r="H69" s="208" t="str">
        <f t="shared" ref="H69:H78" si="4">IF(H51="Θ", 9, IF(H51="Ο", 3, IF(H51="▲", 1, "0")))</f>
        <v>0</v>
      </c>
      <c r="I69" s="209"/>
      <c r="J69" s="209"/>
      <c r="K69" s="209"/>
      <c r="L69" s="209"/>
      <c r="M69" s="210"/>
      <c r="N69" s="208" t="str">
        <f t="shared" ref="N69:N78" si="5">IF(N51="Θ", 9, IF(N51="Ο", 3, IF(N51="▲", 1, "0")))</f>
        <v>0</v>
      </c>
      <c r="O69" s="209"/>
      <c r="P69" s="209"/>
      <c r="Q69" s="209"/>
      <c r="R69" s="209"/>
      <c r="S69" s="210"/>
      <c r="T69" s="208" t="str">
        <f t="shared" ref="T69:T78" si="6">IF(T51="Θ", 9, IF(T51="Ο", 3, IF(T51="▲", 1, "0")))</f>
        <v>0</v>
      </c>
      <c r="U69" s="209"/>
      <c r="V69" s="209"/>
      <c r="W69" s="209"/>
      <c r="X69" s="209"/>
      <c r="Y69" s="210"/>
      <c r="Z69" s="208" t="str">
        <f t="shared" ref="Z69:Z78" si="7">IF(Z51="Θ", 9, IF(Z51="Ο", 3, IF(Z51="▲", 1, "0")))</f>
        <v>0</v>
      </c>
      <c r="AA69" s="209"/>
      <c r="AB69" s="209"/>
      <c r="AC69" s="209"/>
      <c r="AD69" s="209"/>
      <c r="AE69" s="210"/>
      <c r="AF69" s="208" t="str">
        <f t="shared" ref="AF69:AF78" si="8">IF(AF51="Θ", 9, IF(AF51="Ο", 3, IF(AF51="▲", 1, "0")))</f>
        <v>0</v>
      </c>
      <c r="AG69" s="209"/>
      <c r="AH69" s="209"/>
      <c r="AI69" s="209"/>
      <c r="AJ69" s="209"/>
      <c r="AK69" s="210"/>
      <c r="AL69" s="208" t="str">
        <f t="shared" ref="AL69:AL78" si="9">IF(AL51="Θ", 9, IF(AL51="Ο", 3, IF(AL51="▲", 1, "0")))</f>
        <v>0</v>
      </c>
      <c r="AM69" s="209"/>
      <c r="AN69" s="209"/>
      <c r="AO69" s="209"/>
      <c r="AP69" s="209"/>
      <c r="AQ69" s="210"/>
      <c r="AR69" s="208" t="str">
        <f t="shared" ref="AR69:AR78" si="10">IF(AR51="Θ", 9, IF(AR51="Ο", 3, IF(AR51="▲", 1, "0")))</f>
        <v>0</v>
      </c>
      <c r="AS69" s="209"/>
      <c r="AT69" s="209"/>
      <c r="AU69" s="209"/>
      <c r="AV69" s="209"/>
      <c r="AW69" s="210"/>
      <c r="AX69" s="208" t="str">
        <f t="shared" ref="AX69:AX78" si="11">IF(AX51="Θ", 9, IF(AX51="Ο", 3, IF(AX51="▲", 1, "0")))</f>
        <v>0</v>
      </c>
      <c r="AY69" s="209"/>
      <c r="AZ69" s="209"/>
      <c r="BA69" s="209"/>
      <c r="BB69" s="209"/>
      <c r="BC69" s="210"/>
      <c r="BD69" s="208" t="str">
        <f t="shared" ref="BD69:BD78" si="12">IF(BD51="Θ", 9, IF(BD51="Ο", 3, IF(BD51="▲", 1, "0")))</f>
        <v>0</v>
      </c>
      <c r="BE69" s="209"/>
      <c r="BF69" s="209"/>
      <c r="BG69" s="209"/>
      <c r="BH69" s="209"/>
      <c r="BI69" s="210"/>
      <c r="BJ69" s="208" t="str">
        <f t="shared" ref="BJ69:BJ78" si="13">IF(BJ51="Θ", 9, IF(BJ51="Ο", 3, IF(BJ51="▲", 1, "0")))</f>
        <v>0</v>
      </c>
      <c r="BK69" s="209"/>
      <c r="BL69" s="209"/>
      <c r="BM69" s="209"/>
      <c r="BN69" s="209"/>
      <c r="BO69" s="210"/>
      <c r="BP69" s="208" t="str">
        <f t="shared" ref="BP69:BP78" si="14">IF(BP51="Θ", 9, IF(BP51="Ο", 3, IF(BP51="▲", 1, "0")))</f>
        <v>0</v>
      </c>
      <c r="BQ69" s="209"/>
      <c r="BR69" s="209"/>
      <c r="BS69" s="209"/>
      <c r="BT69" s="209"/>
      <c r="BU69" s="210"/>
      <c r="BV69" s="208" t="str">
        <f t="shared" ref="BV69:BV78" si="15">IF(BV51="Θ", 9, IF(BV51="Ο", 3, IF(BV51="▲", 1, "0")))</f>
        <v>0</v>
      </c>
      <c r="BW69" s="209"/>
      <c r="BX69" s="209"/>
      <c r="BY69" s="209"/>
      <c r="BZ69" s="209"/>
      <c r="CA69" s="210"/>
      <c r="CB69" s="208" t="str">
        <f t="shared" ref="CB69:CB78" si="16">IF(CB51="Θ", 9, IF(CB51="Ο", 3, IF(CB51="▲", 1, "0")))</f>
        <v>0</v>
      </c>
      <c r="CC69" s="209"/>
      <c r="CD69" s="209"/>
      <c r="CE69" s="209"/>
      <c r="CF69" s="209"/>
      <c r="CG69" s="210"/>
      <c r="CH69" s="208" t="str">
        <f t="shared" ref="CH69:CH78" si="17">IF(CH51="Θ", 9, IF(CH51="Ο", 3, IF(CH51="▲", 1, "0")))</f>
        <v>0</v>
      </c>
      <c r="CI69" s="209"/>
      <c r="CJ69" s="209"/>
      <c r="CK69" s="209"/>
      <c r="CL69" s="209"/>
      <c r="CM69" s="210"/>
      <c r="CN69" s="208" t="str">
        <f t="shared" ref="CN69:CN78" si="18">IF(CN51="Θ", 9, IF(CN51="Ο", 3, IF(CN51="▲", 1, "0")))</f>
        <v>0</v>
      </c>
      <c r="CO69" s="209"/>
      <c r="CP69" s="209"/>
      <c r="CQ69" s="209"/>
      <c r="CR69" s="209"/>
      <c r="CS69" s="210"/>
      <c r="CT69" s="71"/>
      <c r="CU69" s="71"/>
      <c r="CV69" s="71"/>
      <c r="CW69" s="71"/>
      <c r="CX69" s="71"/>
      <c r="CY69" s="72"/>
      <c r="CZ69" s="70"/>
      <c r="DA69" s="70"/>
      <c r="DB69" s="70"/>
      <c r="DC69" s="70"/>
      <c r="DD69" s="70"/>
      <c r="DE69" s="70"/>
      <c r="DF69" s="70"/>
      <c r="DG69" s="76"/>
    </row>
    <row r="70" spans="1:111" s="46" customFormat="1" ht="23.25" hidden="1" customHeight="1" x14ac:dyDescent="0.25">
      <c r="B70" s="78"/>
      <c r="C70" s="78"/>
      <c r="D70" s="43">
        <f t="shared" si="3"/>
        <v>0</v>
      </c>
      <c r="E70" s="44"/>
      <c r="F70" s="216"/>
      <c r="G70" s="217"/>
      <c r="H70" s="208" t="str">
        <f t="shared" si="4"/>
        <v>0</v>
      </c>
      <c r="I70" s="209"/>
      <c r="J70" s="209"/>
      <c r="K70" s="209"/>
      <c r="L70" s="209"/>
      <c r="M70" s="210"/>
      <c r="N70" s="208" t="str">
        <f t="shared" si="5"/>
        <v>0</v>
      </c>
      <c r="O70" s="209"/>
      <c r="P70" s="209"/>
      <c r="Q70" s="209"/>
      <c r="R70" s="209"/>
      <c r="S70" s="210"/>
      <c r="T70" s="208" t="str">
        <f t="shared" si="6"/>
        <v>0</v>
      </c>
      <c r="U70" s="209"/>
      <c r="V70" s="209"/>
      <c r="W70" s="209"/>
      <c r="X70" s="209"/>
      <c r="Y70" s="210"/>
      <c r="Z70" s="208" t="str">
        <f t="shared" si="7"/>
        <v>0</v>
      </c>
      <c r="AA70" s="209"/>
      <c r="AB70" s="209"/>
      <c r="AC70" s="209"/>
      <c r="AD70" s="209"/>
      <c r="AE70" s="210"/>
      <c r="AF70" s="208" t="str">
        <f t="shared" si="8"/>
        <v>0</v>
      </c>
      <c r="AG70" s="209"/>
      <c r="AH70" s="209"/>
      <c r="AI70" s="209"/>
      <c r="AJ70" s="209"/>
      <c r="AK70" s="210"/>
      <c r="AL70" s="208" t="str">
        <f t="shared" si="9"/>
        <v>0</v>
      </c>
      <c r="AM70" s="209"/>
      <c r="AN70" s="209"/>
      <c r="AO70" s="209"/>
      <c r="AP70" s="209"/>
      <c r="AQ70" s="210"/>
      <c r="AR70" s="208" t="str">
        <f t="shared" si="10"/>
        <v>0</v>
      </c>
      <c r="AS70" s="209"/>
      <c r="AT70" s="209"/>
      <c r="AU70" s="209"/>
      <c r="AV70" s="209"/>
      <c r="AW70" s="210"/>
      <c r="AX70" s="208" t="str">
        <f t="shared" si="11"/>
        <v>0</v>
      </c>
      <c r="AY70" s="209"/>
      <c r="AZ70" s="209"/>
      <c r="BA70" s="209"/>
      <c r="BB70" s="209"/>
      <c r="BC70" s="210"/>
      <c r="BD70" s="208" t="str">
        <f t="shared" si="12"/>
        <v>0</v>
      </c>
      <c r="BE70" s="209"/>
      <c r="BF70" s="209"/>
      <c r="BG70" s="209"/>
      <c r="BH70" s="209"/>
      <c r="BI70" s="210"/>
      <c r="BJ70" s="208" t="str">
        <f t="shared" si="13"/>
        <v>0</v>
      </c>
      <c r="BK70" s="209"/>
      <c r="BL70" s="209"/>
      <c r="BM70" s="209"/>
      <c r="BN70" s="209"/>
      <c r="BO70" s="210"/>
      <c r="BP70" s="208" t="str">
        <f t="shared" si="14"/>
        <v>0</v>
      </c>
      <c r="BQ70" s="209"/>
      <c r="BR70" s="209"/>
      <c r="BS70" s="209"/>
      <c r="BT70" s="209"/>
      <c r="BU70" s="210"/>
      <c r="BV70" s="208" t="str">
        <f t="shared" si="15"/>
        <v>0</v>
      </c>
      <c r="BW70" s="209"/>
      <c r="BX70" s="209"/>
      <c r="BY70" s="209"/>
      <c r="BZ70" s="209"/>
      <c r="CA70" s="210"/>
      <c r="CB70" s="208" t="str">
        <f t="shared" si="16"/>
        <v>0</v>
      </c>
      <c r="CC70" s="209"/>
      <c r="CD70" s="209"/>
      <c r="CE70" s="209"/>
      <c r="CF70" s="209"/>
      <c r="CG70" s="210"/>
      <c r="CH70" s="208" t="str">
        <f t="shared" si="17"/>
        <v>0</v>
      </c>
      <c r="CI70" s="209"/>
      <c r="CJ70" s="209"/>
      <c r="CK70" s="209"/>
      <c r="CL70" s="209"/>
      <c r="CM70" s="210"/>
      <c r="CN70" s="208" t="str">
        <f t="shared" si="18"/>
        <v>0</v>
      </c>
      <c r="CO70" s="209"/>
      <c r="CP70" s="209"/>
      <c r="CQ70" s="209"/>
      <c r="CR70" s="209"/>
      <c r="CS70" s="210"/>
      <c r="CT70" s="71"/>
      <c r="CU70" s="71"/>
      <c r="CV70" s="71"/>
      <c r="CW70" s="71"/>
      <c r="CX70" s="71"/>
      <c r="CY70" s="72"/>
      <c r="CZ70" s="70"/>
      <c r="DA70" s="70"/>
      <c r="DB70" s="70"/>
      <c r="DC70" s="70"/>
      <c r="DD70" s="70"/>
      <c r="DE70" s="70"/>
      <c r="DF70" s="70"/>
      <c r="DG70" s="76"/>
    </row>
    <row r="71" spans="1:111" s="46" customFormat="1" ht="23.25" hidden="1" customHeight="1" x14ac:dyDescent="0.25">
      <c r="B71" s="78"/>
      <c r="C71" s="78"/>
      <c r="D71" s="43">
        <f t="shared" si="3"/>
        <v>0</v>
      </c>
      <c r="E71" s="44"/>
      <c r="F71" s="216"/>
      <c r="G71" s="217"/>
      <c r="H71" s="208" t="str">
        <f t="shared" si="4"/>
        <v>0</v>
      </c>
      <c r="I71" s="209"/>
      <c r="J71" s="209"/>
      <c r="K71" s="209"/>
      <c r="L71" s="209"/>
      <c r="M71" s="210"/>
      <c r="N71" s="208" t="str">
        <f t="shared" si="5"/>
        <v>0</v>
      </c>
      <c r="O71" s="209"/>
      <c r="P71" s="209"/>
      <c r="Q71" s="209"/>
      <c r="R71" s="209"/>
      <c r="S71" s="210"/>
      <c r="T71" s="208" t="str">
        <f t="shared" si="6"/>
        <v>0</v>
      </c>
      <c r="U71" s="209"/>
      <c r="V71" s="209"/>
      <c r="W71" s="209"/>
      <c r="X71" s="209"/>
      <c r="Y71" s="210"/>
      <c r="Z71" s="208" t="str">
        <f t="shared" si="7"/>
        <v>0</v>
      </c>
      <c r="AA71" s="209"/>
      <c r="AB71" s="209"/>
      <c r="AC71" s="209"/>
      <c r="AD71" s="209"/>
      <c r="AE71" s="210"/>
      <c r="AF71" s="208" t="str">
        <f t="shared" si="8"/>
        <v>0</v>
      </c>
      <c r="AG71" s="209"/>
      <c r="AH71" s="209"/>
      <c r="AI71" s="209"/>
      <c r="AJ71" s="209"/>
      <c r="AK71" s="210"/>
      <c r="AL71" s="208" t="str">
        <f t="shared" si="9"/>
        <v>0</v>
      </c>
      <c r="AM71" s="209"/>
      <c r="AN71" s="209"/>
      <c r="AO71" s="209"/>
      <c r="AP71" s="209"/>
      <c r="AQ71" s="210"/>
      <c r="AR71" s="208" t="str">
        <f t="shared" si="10"/>
        <v>0</v>
      </c>
      <c r="AS71" s="209"/>
      <c r="AT71" s="209"/>
      <c r="AU71" s="209"/>
      <c r="AV71" s="209"/>
      <c r="AW71" s="210"/>
      <c r="AX71" s="208" t="str">
        <f t="shared" si="11"/>
        <v>0</v>
      </c>
      <c r="AY71" s="209"/>
      <c r="AZ71" s="209"/>
      <c r="BA71" s="209"/>
      <c r="BB71" s="209"/>
      <c r="BC71" s="210"/>
      <c r="BD71" s="208" t="str">
        <f t="shared" si="12"/>
        <v>0</v>
      </c>
      <c r="BE71" s="209"/>
      <c r="BF71" s="209"/>
      <c r="BG71" s="209"/>
      <c r="BH71" s="209"/>
      <c r="BI71" s="210"/>
      <c r="BJ71" s="208" t="str">
        <f t="shared" si="13"/>
        <v>0</v>
      </c>
      <c r="BK71" s="209"/>
      <c r="BL71" s="209"/>
      <c r="BM71" s="209"/>
      <c r="BN71" s="209"/>
      <c r="BO71" s="210"/>
      <c r="BP71" s="208" t="str">
        <f t="shared" si="14"/>
        <v>0</v>
      </c>
      <c r="BQ71" s="209"/>
      <c r="BR71" s="209"/>
      <c r="BS71" s="209"/>
      <c r="BT71" s="209"/>
      <c r="BU71" s="210"/>
      <c r="BV71" s="208" t="str">
        <f t="shared" si="15"/>
        <v>0</v>
      </c>
      <c r="BW71" s="209"/>
      <c r="BX71" s="209"/>
      <c r="BY71" s="209"/>
      <c r="BZ71" s="209"/>
      <c r="CA71" s="210"/>
      <c r="CB71" s="208" t="str">
        <f t="shared" si="16"/>
        <v>0</v>
      </c>
      <c r="CC71" s="209"/>
      <c r="CD71" s="209"/>
      <c r="CE71" s="209"/>
      <c r="CF71" s="209"/>
      <c r="CG71" s="210"/>
      <c r="CH71" s="208" t="str">
        <f t="shared" si="17"/>
        <v>0</v>
      </c>
      <c r="CI71" s="209"/>
      <c r="CJ71" s="209"/>
      <c r="CK71" s="209"/>
      <c r="CL71" s="209"/>
      <c r="CM71" s="210"/>
      <c r="CN71" s="208" t="str">
        <f t="shared" si="18"/>
        <v>0</v>
      </c>
      <c r="CO71" s="209"/>
      <c r="CP71" s="209"/>
      <c r="CQ71" s="209"/>
      <c r="CR71" s="209"/>
      <c r="CS71" s="210"/>
      <c r="CT71" s="71"/>
      <c r="CU71" s="71"/>
      <c r="CV71" s="71"/>
      <c r="CW71" s="71"/>
      <c r="CX71" s="71"/>
      <c r="CY71" s="72"/>
      <c r="CZ71" s="70"/>
      <c r="DA71" s="70"/>
      <c r="DB71" s="70"/>
      <c r="DC71" s="70"/>
      <c r="DD71" s="70"/>
      <c r="DE71" s="70"/>
      <c r="DF71" s="70"/>
      <c r="DG71" s="76"/>
    </row>
    <row r="72" spans="1:111" s="46" customFormat="1" ht="23.25" hidden="1" customHeight="1" x14ac:dyDescent="0.25">
      <c r="B72" s="78"/>
      <c r="C72" s="78"/>
      <c r="D72" s="43">
        <f t="shared" si="3"/>
        <v>0</v>
      </c>
      <c r="E72" s="44"/>
      <c r="F72" s="216"/>
      <c r="G72" s="217"/>
      <c r="H72" s="208" t="str">
        <f t="shared" si="4"/>
        <v>0</v>
      </c>
      <c r="I72" s="209"/>
      <c r="J72" s="209"/>
      <c r="K72" s="209"/>
      <c r="L72" s="209"/>
      <c r="M72" s="210"/>
      <c r="N72" s="208" t="str">
        <f t="shared" si="5"/>
        <v>0</v>
      </c>
      <c r="O72" s="209"/>
      <c r="P72" s="209"/>
      <c r="Q72" s="209"/>
      <c r="R72" s="209"/>
      <c r="S72" s="210"/>
      <c r="T72" s="208" t="str">
        <f t="shared" si="6"/>
        <v>0</v>
      </c>
      <c r="U72" s="209"/>
      <c r="V72" s="209"/>
      <c r="W72" s="209"/>
      <c r="X72" s="209"/>
      <c r="Y72" s="210"/>
      <c r="Z72" s="208" t="str">
        <f t="shared" si="7"/>
        <v>0</v>
      </c>
      <c r="AA72" s="209"/>
      <c r="AB72" s="209"/>
      <c r="AC72" s="209"/>
      <c r="AD72" s="209"/>
      <c r="AE72" s="210"/>
      <c r="AF72" s="208" t="str">
        <f t="shared" si="8"/>
        <v>0</v>
      </c>
      <c r="AG72" s="209"/>
      <c r="AH72" s="209"/>
      <c r="AI72" s="209"/>
      <c r="AJ72" s="209"/>
      <c r="AK72" s="210"/>
      <c r="AL72" s="208" t="str">
        <f t="shared" si="9"/>
        <v>0</v>
      </c>
      <c r="AM72" s="209"/>
      <c r="AN72" s="209"/>
      <c r="AO72" s="209"/>
      <c r="AP72" s="209"/>
      <c r="AQ72" s="210"/>
      <c r="AR72" s="208" t="str">
        <f t="shared" si="10"/>
        <v>0</v>
      </c>
      <c r="AS72" s="209"/>
      <c r="AT72" s="209"/>
      <c r="AU72" s="209"/>
      <c r="AV72" s="209"/>
      <c r="AW72" s="210"/>
      <c r="AX72" s="208" t="str">
        <f t="shared" si="11"/>
        <v>0</v>
      </c>
      <c r="AY72" s="209"/>
      <c r="AZ72" s="209"/>
      <c r="BA72" s="209"/>
      <c r="BB72" s="209"/>
      <c r="BC72" s="210"/>
      <c r="BD72" s="208" t="str">
        <f t="shared" si="12"/>
        <v>0</v>
      </c>
      <c r="BE72" s="209"/>
      <c r="BF72" s="209"/>
      <c r="BG72" s="209"/>
      <c r="BH72" s="209"/>
      <c r="BI72" s="210"/>
      <c r="BJ72" s="208" t="str">
        <f t="shared" si="13"/>
        <v>0</v>
      </c>
      <c r="BK72" s="209"/>
      <c r="BL72" s="209"/>
      <c r="BM72" s="209"/>
      <c r="BN72" s="209"/>
      <c r="BO72" s="210"/>
      <c r="BP72" s="208" t="str">
        <f t="shared" si="14"/>
        <v>0</v>
      </c>
      <c r="BQ72" s="209"/>
      <c r="BR72" s="209"/>
      <c r="BS72" s="209"/>
      <c r="BT72" s="209"/>
      <c r="BU72" s="210"/>
      <c r="BV72" s="208" t="str">
        <f t="shared" si="15"/>
        <v>0</v>
      </c>
      <c r="BW72" s="209"/>
      <c r="BX72" s="209"/>
      <c r="BY72" s="209"/>
      <c r="BZ72" s="209"/>
      <c r="CA72" s="210"/>
      <c r="CB72" s="208" t="str">
        <f t="shared" si="16"/>
        <v>0</v>
      </c>
      <c r="CC72" s="209"/>
      <c r="CD72" s="209"/>
      <c r="CE72" s="209"/>
      <c r="CF72" s="209"/>
      <c r="CG72" s="210"/>
      <c r="CH72" s="208" t="str">
        <f t="shared" si="17"/>
        <v>0</v>
      </c>
      <c r="CI72" s="209"/>
      <c r="CJ72" s="209"/>
      <c r="CK72" s="209"/>
      <c r="CL72" s="209"/>
      <c r="CM72" s="210"/>
      <c r="CN72" s="208" t="str">
        <f t="shared" si="18"/>
        <v>0</v>
      </c>
      <c r="CO72" s="209"/>
      <c r="CP72" s="209"/>
      <c r="CQ72" s="209"/>
      <c r="CR72" s="209"/>
      <c r="CS72" s="210"/>
      <c r="CT72" s="71"/>
      <c r="CU72" s="71"/>
      <c r="CV72" s="71"/>
      <c r="CW72" s="71"/>
      <c r="CX72" s="71"/>
      <c r="CY72" s="72"/>
      <c r="CZ72" s="70"/>
      <c r="DA72" s="70"/>
      <c r="DB72" s="70"/>
      <c r="DC72" s="70"/>
      <c r="DD72" s="70"/>
      <c r="DE72" s="70"/>
      <c r="DF72" s="70"/>
      <c r="DG72" s="76"/>
    </row>
    <row r="73" spans="1:111" s="46" customFormat="1" ht="23.25" hidden="1" customHeight="1" x14ac:dyDescent="0.25">
      <c r="B73" s="78"/>
      <c r="C73" s="78"/>
      <c r="D73" s="43">
        <f t="shared" si="3"/>
        <v>0</v>
      </c>
      <c r="E73" s="44"/>
      <c r="F73" s="216"/>
      <c r="G73" s="217"/>
      <c r="H73" s="208" t="str">
        <f t="shared" si="4"/>
        <v>0</v>
      </c>
      <c r="I73" s="209"/>
      <c r="J73" s="209"/>
      <c r="K73" s="209"/>
      <c r="L73" s="209"/>
      <c r="M73" s="210"/>
      <c r="N73" s="208" t="str">
        <f t="shared" si="5"/>
        <v>0</v>
      </c>
      <c r="O73" s="209"/>
      <c r="P73" s="209"/>
      <c r="Q73" s="209"/>
      <c r="R73" s="209"/>
      <c r="S73" s="210"/>
      <c r="T73" s="208" t="str">
        <f t="shared" si="6"/>
        <v>0</v>
      </c>
      <c r="U73" s="209"/>
      <c r="V73" s="209"/>
      <c r="W73" s="209"/>
      <c r="X73" s="209"/>
      <c r="Y73" s="210"/>
      <c r="Z73" s="208" t="str">
        <f t="shared" si="7"/>
        <v>0</v>
      </c>
      <c r="AA73" s="209"/>
      <c r="AB73" s="209"/>
      <c r="AC73" s="209"/>
      <c r="AD73" s="209"/>
      <c r="AE73" s="210"/>
      <c r="AF73" s="208" t="str">
        <f t="shared" si="8"/>
        <v>0</v>
      </c>
      <c r="AG73" s="209"/>
      <c r="AH73" s="209"/>
      <c r="AI73" s="209"/>
      <c r="AJ73" s="209"/>
      <c r="AK73" s="210"/>
      <c r="AL73" s="208" t="str">
        <f t="shared" si="9"/>
        <v>0</v>
      </c>
      <c r="AM73" s="209"/>
      <c r="AN73" s="209"/>
      <c r="AO73" s="209"/>
      <c r="AP73" s="209"/>
      <c r="AQ73" s="210"/>
      <c r="AR73" s="208" t="str">
        <f t="shared" si="10"/>
        <v>0</v>
      </c>
      <c r="AS73" s="209"/>
      <c r="AT73" s="209"/>
      <c r="AU73" s="209"/>
      <c r="AV73" s="209"/>
      <c r="AW73" s="210"/>
      <c r="AX73" s="208" t="str">
        <f t="shared" si="11"/>
        <v>0</v>
      </c>
      <c r="AY73" s="209"/>
      <c r="AZ73" s="209"/>
      <c r="BA73" s="209"/>
      <c r="BB73" s="209"/>
      <c r="BC73" s="210"/>
      <c r="BD73" s="208" t="str">
        <f t="shared" si="12"/>
        <v>0</v>
      </c>
      <c r="BE73" s="209"/>
      <c r="BF73" s="209"/>
      <c r="BG73" s="209"/>
      <c r="BH73" s="209"/>
      <c r="BI73" s="210"/>
      <c r="BJ73" s="208" t="str">
        <f t="shared" si="13"/>
        <v>0</v>
      </c>
      <c r="BK73" s="209"/>
      <c r="BL73" s="209"/>
      <c r="BM73" s="209"/>
      <c r="BN73" s="209"/>
      <c r="BO73" s="210"/>
      <c r="BP73" s="208" t="str">
        <f t="shared" si="14"/>
        <v>0</v>
      </c>
      <c r="BQ73" s="209"/>
      <c r="BR73" s="209"/>
      <c r="BS73" s="209"/>
      <c r="BT73" s="209"/>
      <c r="BU73" s="210"/>
      <c r="BV73" s="208" t="str">
        <f t="shared" si="15"/>
        <v>0</v>
      </c>
      <c r="BW73" s="209"/>
      <c r="BX73" s="209"/>
      <c r="BY73" s="209"/>
      <c r="BZ73" s="209"/>
      <c r="CA73" s="210"/>
      <c r="CB73" s="208" t="str">
        <f t="shared" si="16"/>
        <v>0</v>
      </c>
      <c r="CC73" s="209"/>
      <c r="CD73" s="209"/>
      <c r="CE73" s="209"/>
      <c r="CF73" s="209"/>
      <c r="CG73" s="210"/>
      <c r="CH73" s="208" t="str">
        <f t="shared" si="17"/>
        <v>0</v>
      </c>
      <c r="CI73" s="209"/>
      <c r="CJ73" s="209"/>
      <c r="CK73" s="209"/>
      <c r="CL73" s="209"/>
      <c r="CM73" s="210"/>
      <c r="CN73" s="208" t="str">
        <f t="shared" si="18"/>
        <v>0</v>
      </c>
      <c r="CO73" s="209"/>
      <c r="CP73" s="209"/>
      <c r="CQ73" s="209"/>
      <c r="CR73" s="209"/>
      <c r="CS73" s="210"/>
      <c r="CT73" s="71"/>
      <c r="CU73" s="71"/>
      <c r="CV73" s="71"/>
      <c r="CW73" s="71"/>
      <c r="CX73" s="71"/>
      <c r="CY73" s="72"/>
      <c r="CZ73" s="70"/>
      <c r="DA73" s="70"/>
      <c r="DB73" s="70"/>
      <c r="DC73" s="70"/>
      <c r="DD73" s="70"/>
      <c r="DE73" s="70"/>
      <c r="DF73" s="70"/>
      <c r="DG73" s="76"/>
    </row>
    <row r="74" spans="1:111" s="46" customFormat="1" ht="23.25" hidden="1" customHeight="1" x14ac:dyDescent="0.25">
      <c r="B74" s="78"/>
      <c r="C74" s="78"/>
      <c r="D74" s="43">
        <f t="shared" si="3"/>
        <v>0</v>
      </c>
      <c r="E74" s="44"/>
      <c r="F74" s="216"/>
      <c r="G74" s="217"/>
      <c r="H74" s="208" t="str">
        <f t="shared" si="4"/>
        <v>0</v>
      </c>
      <c r="I74" s="209"/>
      <c r="J74" s="209"/>
      <c r="K74" s="209"/>
      <c r="L74" s="209"/>
      <c r="M74" s="210"/>
      <c r="N74" s="208" t="str">
        <f t="shared" si="5"/>
        <v>0</v>
      </c>
      <c r="O74" s="209"/>
      <c r="P74" s="209"/>
      <c r="Q74" s="209"/>
      <c r="R74" s="209"/>
      <c r="S74" s="210"/>
      <c r="T74" s="208" t="str">
        <f t="shared" si="6"/>
        <v>0</v>
      </c>
      <c r="U74" s="209"/>
      <c r="V74" s="209"/>
      <c r="W74" s="209"/>
      <c r="X74" s="209"/>
      <c r="Y74" s="210"/>
      <c r="Z74" s="208" t="str">
        <f t="shared" si="7"/>
        <v>0</v>
      </c>
      <c r="AA74" s="209"/>
      <c r="AB74" s="209"/>
      <c r="AC74" s="209"/>
      <c r="AD74" s="209"/>
      <c r="AE74" s="210"/>
      <c r="AF74" s="208" t="str">
        <f t="shared" si="8"/>
        <v>0</v>
      </c>
      <c r="AG74" s="209"/>
      <c r="AH74" s="209"/>
      <c r="AI74" s="209"/>
      <c r="AJ74" s="209"/>
      <c r="AK74" s="210"/>
      <c r="AL74" s="208" t="str">
        <f t="shared" si="9"/>
        <v>0</v>
      </c>
      <c r="AM74" s="209"/>
      <c r="AN74" s="209"/>
      <c r="AO74" s="209"/>
      <c r="AP74" s="209"/>
      <c r="AQ74" s="210"/>
      <c r="AR74" s="208" t="str">
        <f t="shared" si="10"/>
        <v>0</v>
      </c>
      <c r="AS74" s="209"/>
      <c r="AT74" s="209"/>
      <c r="AU74" s="209"/>
      <c r="AV74" s="209"/>
      <c r="AW74" s="210"/>
      <c r="AX74" s="208" t="str">
        <f t="shared" si="11"/>
        <v>0</v>
      </c>
      <c r="AY74" s="209"/>
      <c r="AZ74" s="209"/>
      <c r="BA74" s="209"/>
      <c r="BB74" s="209"/>
      <c r="BC74" s="210"/>
      <c r="BD74" s="208" t="str">
        <f t="shared" si="12"/>
        <v>0</v>
      </c>
      <c r="BE74" s="209"/>
      <c r="BF74" s="209"/>
      <c r="BG74" s="209"/>
      <c r="BH74" s="209"/>
      <c r="BI74" s="210"/>
      <c r="BJ74" s="208" t="str">
        <f t="shared" si="13"/>
        <v>0</v>
      </c>
      <c r="BK74" s="209"/>
      <c r="BL74" s="209"/>
      <c r="BM74" s="209"/>
      <c r="BN74" s="209"/>
      <c r="BO74" s="210"/>
      <c r="BP74" s="208" t="str">
        <f t="shared" si="14"/>
        <v>0</v>
      </c>
      <c r="BQ74" s="209"/>
      <c r="BR74" s="209"/>
      <c r="BS74" s="209"/>
      <c r="BT74" s="209"/>
      <c r="BU74" s="210"/>
      <c r="BV74" s="208" t="str">
        <f t="shared" si="15"/>
        <v>0</v>
      </c>
      <c r="BW74" s="209"/>
      <c r="BX74" s="209"/>
      <c r="BY74" s="209"/>
      <c r="BZ74" s="209"/>
      <c r="CA74" s="210"/>
      <c r="CB74" s="208" t="str">
        <f t="shared" si="16"/>
        <v>0</v>
      </c>
      <c r="CC74" s="209"/>
      <c r="CD74" s="209"/>
      <c r="CE74" s="209"/>
      <c r="CF74" s="209"/>
      <c r="CG74" s="210"/>
      <c r="CH74" s="208" t="str">
        <f t="shared" si="17"/>
        <v>0</v>
      </c>
      <c r="CI74" s="209"/>
      <c r="CJ74" s="209"/>
      <c r="CK74" s="209"/>
      <c r="CL74" s="209"/>
      <c r="CM74" s="210"/>
      <c r="CN74" s="208" t="str">
        <f t="shared" si="18"/>
        <v>0</v>
      </c>
      <c r="CO74" s="209"/>
      <c r="CP74" s="209"/>
      <c r="CQ74" s="209"/>
      <c r="CR74" s="209"/>
      <c r="CS74" s="210"/>
      <c r="CT74" s="71"/>
      <c r="CU74" s="71"/>
      <c r="CV74" s="71"/>
      <c r="CW74" s="71"/>
      <c r="CX74" s="71"/>
      <c r="CY74" s="72"/>
      <c r="CZ74" s="70"/>
      <c r="DA74" s="70"/>
      <c r="DB74" s="70"/>
      <c r="DC74" s="70"/>
      <c r="DD74" s="70"/>
      <c r="DE74" s="70"/>
      <c r="DF74" s="70"/>
      <c r="DG74" s="76"/>
    </row>
    <row r="75" spans="1:111" s="46" customFormat="1" ht="23.25" hidden="1" customHeight="1" x14ac:dyDescent="0.25">
      <c r="B75" s="78"/>
      <c r="C75" s="78"/>
      <c r="D75" s="43">
        <f t="shared" si="3"/>
        <v>0</v>
      </c>
      <c r="E75" s="44"/>
      <c r="F75" s="216"/>
      <c r="G75" s="217"/>
      <c r="H75" s="208" t="str">
        <f t="shared" si="4"/>
        <v>0</v>
      </c>
      <c r="I75" s="209"/>
      <c r="J75" s="209"/>
      <c r="K75" s="209"/>
      <c r="L75" s="209"/>
      <c r="M75" s="210"/>
      <c r="N75" s="208" t="str">
        <f t="shared" si="5"/>
        <v>0</v>
      </c>
      <c r="O75" s="209"/>
      <c r="P75" s="209"/>
      <c r="Q75" s="209"/>
      <c r="R75" s="209"/>
      <c r="S75" s="210"/>
      <c r="T75" s="208" t="str">
        <f t="shared" si="6"/>
        <v>0</v>
      </c>
      <c r="U75" s="209"/>
      <c r="V75" s="209"/>
      <c r="W75" s="209"/>
      <c r="X75" s="209"/>
      <c r="Y75" s="210"/>
      <c r="Z75" s="208" t="str">
        <f t="shared" si="7"/>
        <v>0</v>
      </c>
      <c r="AA75" s="209"/>
      <c r="AB75" s="209"/>
      <c r="AC75" s="209"/>
      <c r="AD75" s="209"/>
      <c r="AE75" s="210"/>
      <c r="AF75" s="208" t="str">
        <f t="shared" si="8"/>
        <v>0</v>
      </c>
      <c r="AG75" s="209"/>
      <c r="AH75" s="209"/>
      <c r="AI75" s="209"/>
      <c r="AJ75" s="209"/>
      <c r="AK75" s="210"/>
      <c r="AL75" s="208" t="str">
        <f t="shared" si="9"/>
        <v>0</v>
      </c>
      <c r="AM75" s="209"/>
      <c r="AN75" s="209"/>
      <c r="AO75" s="209"/>
      <c r="AP75" s="209"/>
      <c r="AQ75" s="210"/>
      <c r="AR75" s="208" t="str">
        <f t="shared" si="10"/>
        <v>0</v>
      </c>
      <c r="AS75" s="209"/>
      <c r="AT75" s="209"/>
      <c r="AU75" s="209"/>
      <c r="AV75" s="209"/>
      <c r="AW75" s="210"/>
      <c r="AX75" s="208" t="str">
        <f t="shared" si="11"/>
        <v>0</v>
      </c>
      <c r="AY75" s="209"/>
      <c r="AZ75" s="209"/>
      <c r="BA75" s="209"/>
      <c r="BB75" s="209"/>
      <c r="BC75" s="210"/>
      <c r="BD75" s="208" t="str">
        <f t="shared" si="12"/>
        <v>0</v>
      </c>
      <c r="BE75" s="209"/>
      <c r="BF75" s="209"/>
      <c r="BG75" s="209"/>
      <c r="BH75" s="209"/>
      <c r="BI75" s="210"/>
      <c r="BJ75" s="208" t="str">
        <f t="shared" si="13"/>
        <v>0</v>
      </c>
      <c r="BK75" s="209"/>
      <c r="BL75" s="209"/>
      <c r="BM75" s="209"/>
      <c r="BN75" s="209"/>
      <c r="BO75" s="210"/>
      <c r="BP75" s="208" t="str">
        <f t="shared" si="14"/>
        <v>0</v>
      </c>
      <c r="BQ75" s="209"/>
      <c r="BR75" s="209"/>
      <c r="BS75" s="209"/>
      <c r="BT75" s="209"/>
      <c r="BU75" s="210"/>
      <c r="BV75" s="208" t="str">
        <f t="shared" si="15"/>
        <v>0</v>
      </c>
      <c r="BW75" s="209"/>
      <c r="BX75" s="209"/>
      <c r="BY75" s="209"/>
      <c r="BZ75" s="209"/>
      <c r="CA75" s="210"/>
      <c r="CB75" s="208" t="str">
        <f t="shared" si="16"/>
        <v>0</v>
      </c>
      <c r="CC75" s="209"/>
      <c r="CD75" s="209"/>
      <c r="CE75" s="209"/>
      <c r="CF75" s="209"/>
      <c r="CG75" s="210"/>
      <c r="CH75" s="208" t="str">
        <f t="shared" si="17"/>
        <v>0</v>
      </c>
      <c r="CI75" s="209"/>
      <c r="CJ75" s="209"/>
      <c r="CK75" s="209"/>
      <c r="CL75" s="209"/>
      <c r="CM75" s="210"/>
      <c r="CN75" s="208" t="str">
        <f t="shared" si="18"/>
        <v>0</v>
      </c>
      <c r="CO75" s="209"/>
      <c r="CP75" s="209"/>
      <c r="CQ75" s="209"/>
      <c r="CR75" s="209"/>
      <c r="CS75" s="210"/>
      <c r="CT75" s="71"/>
      <c r="CU75" s="71"/>
      <c r="CV75" s="71"/>
      <c r="CW75" s="71"/>
      <c r="CX75" s="71"/>
      <c r="CY75" s="72"/>
      <c r="CZ75" s="70"/>
      <c r="DA75" s="70"/>
      <c r="DB75" s="70"/>
      <c r="DC75" s="70"/>
      <c r="DD75" s="70"/>
      <c r="DE75" s="70"/>
      <c r="DF75" s="70"/>
      <c r="DG75" s="76"/>
    </row>
    <row r="76" spans="1:111" s="46" customFormat="1" ht="23.25" hidden="1" customHeight="1" x14ac:dyDescent="0.25">
      <c r="B76" s="78"/>
      <c r="C76" s="78"/>
      <c r="D76" s="43">
        <f t="shared" si="3"/>
        <v>0</v>
      </c>
      <c r="E76" s="44"/>
      <c r="F76" s="216"/>
      <c r="G76" s="217"/>
      <c r="H76" s="208" t="str">
        <f t="shared" si="4"/>
        <v>0</v>
      </c>
      <c r="I76" s="209"/>
      <c r="J76" s="209"/>
      <c r="K76" s="209"/>
      <c r="L76" s="209"/>
      <c r="M76" s="210"/>
      <c r="N76" s="208" t="str">
        <f t="shared" si="5"/>
        <v>0</v>
      </c>
      <c r="O76" s="209"/>
      <c r="P76" s="209"/>
      <c r="Q76" s="209"/>
      <c r="R76" s="209"/>
      <c r="S76" s="210"/>
      <c r="T76" s="208" t="str">
        <f t="shared" si="6"/>
        <v>0</v>
      </c>
      <c r="U76" s="209"/>
      <c r="V76" s="209"/>
      <c r="W76" s="209"/>
      <c r="X76" s="209"/>
      <c r="Y76" s="210"/>
      <c r="Z76" s="208" t="str">
        <f t="shared" si="7"/>
        <v>0</v>
      </c>
      <c r="AA76" s="209"/>
      <c r="AB76" s="209"/>
      <c r="AC76" s="209"/>
      <c r="AD76" s="209"/>
      <c r="AE76" s="210"/>
      <c r="AF76" s="208" t="str">
        <f t="shared" si="8"/>
        <v>0</v>
      </c>
      <c r="AG76" s="209"/>
      <c r="AH76" s="209"/>
      <c r="AI76" s="209"/>
      <c r="AJ76" s="209"/>
      <c r="AK76" s="210"/>
      <c r="AL76" s="208" t="str">
        <f t="shared" si="9"/>
        <v>0</v>
      </c>
      <c r="AM76" s="209"/>
      <c r="AN76" s="209"/>
      <c r="AO76" s="209"/>
      <c r="AP76" s="209"/>
      <c r="AQ76" s="210"/>
      <c r="AR76" s="208" t="str">
        <f t="shared" si="10"/>
        <v>0</v>
      </c>
      <c r="AS76" s="209"/>
      <c r="AT76" s="209"/>
      <c r="AU76" s="209"/>
      <c r="AV76" s="209"/>
      <c r="AW76" s="210"/>
      <c r="AX76" s="208" t="str">
        <f t="shared" si="11"/>
        <v>0</v>
      </c>
      <c r="AY76" s="209"/>
      <c r="AZ76" s="209"/>
      <c r="BA76" s="209"/>
      <c r="BB76" s="209"/>
      <c r="BC76" s="210"/>
      <c r="BD76" s="208" t="str">
        <f t="shared" si="12"/>
        <v>0</v>
      </c>
      <c r="BE76" s="209"/>
      <c r="BF76" s="209"/>
      <c r="BG76" s="209"/>
      <c r="BH76" s="209"/>
      <c r="BI76" s="210"/>
      <c r="BJ76" s="208" t="str">
        <f t="shared" si="13"/>
        <v>0</v>
      </c>
      <c r="BK76" s="209"/>
      <c r="BL76" s="209"/>
      <c r="BM76" s="209"/>
      <c r="BN76" s="209"/>
      <c r="BO76" s="210"/>
      <c r="BP76" s="208" t="str">
        <f t="shared" si="14"/>
        <v>0</v>
      </c>
      <c r="BQ76" s="209"/>
      <c r="BR76" s="209"/>
      <c r="BS76" s="209"/>
      <c r="BT76" s="209"/>
      <c r="BU76" s="210"/>
      <c r="BV76" s="208" t="str">
        <f t="shared" si="15"/>
        <v>0</v>
      </c>
      <c r="BW76" s="209"/>
      <c r="BX76" s="209"/>
      <c r="BY76" s="209"/>
      <c r="BZ76" s="209"/>
      <c r="CA76" s="210"/>
      <c r="CB76" s="208" t="str">
        <f t="shared" si="16"/>
        <v>0</v>
      </c>
      <c r="CC76" s="209"/>
      <c r="CD76" s="209"/>
      <c r="CE76" s="209"/>
      <c r="CF76" s="209"/>
      <c r="CG76" s="210"/>
      <c r="CH76" s="208" t="str">
        <f t="shared" si="17"/>
        <v>0</v>
      </c>
      <c r="CI76" s="209"/>
      <c r="CJ76" s="209"/>
      <c r="CK76" s="209"/>
      <c r="CL76" s="209"/>
      <c r="CM76" s="210"/>
      <c r="CN76" s="208" t="str">
        <f t="shared" si="18"/>
        <v>0</v>
      </c>
      <c r="CO76" s="209"/>
      <c r="CP76" s="209"/>
      <c r="CQ76" s="209"/>
      <c r="CR76" s="209"/>
      <c r="CS76" s="210"/>
      <c r="CT76" s="71"/>
      <c r="CU76" s="71"/>
      <c r="CV76" s="71"/>
      <c r="CW76" s="71"/>
      <c r="CX76" s="71"/>
      <c r="CY76" s="72"/>
      <c r="CZ76" s="70"/>
      <c r="DA76" s="70"/>
      <c r="DB76" s="70"/>
      <c r="DC76" s="70"/>
      <c r="DD76" s="70"/>
      <c r="DE76" s="70"/>
      <c r="DF76" s="70"/>
      <c r="DG76" s="76"/>
    </row>
    <row r="77" spans="1:111" s="46" customFormat="1" ht="23.25" hidden="1" customHeight="1" x14ac:dyDescent="0.25">
      <c r="B77" s="78"/>
      <c r="C77" s="78"/>
      <c r="D77" s="43">
        <f t="shared" si="3"/>
        <v>0</v>
      </c>
      <c r="E77" s="44"/>
      <c r="F77" s="216"/>
      <c r="G77" s="217"/>
      <c r="H77" s="208" t="str">
        <f t="shared" si="4"/>
        <v>0</v>
      </c>
      <c r="I77" s="209"/>
      <c r="J77" s="209"/>
      <c r="K77" s="209"/>
      <c r="L77" s="209"/>
      <c r="M77" s="210"/>
      <c r="N77" s="208" t="str">
        <f t="shared" si="5"/>
        <v>0</v>
      </c>
      <c r="O77" s="209"/>
      <c r="P77" s="209"/>
      <c r="Q77" s="209"/>
      <c r="R77" s="209"/>
      <c r="S77" s="210"/>
      <c r="T77" s="208" t="str">
        <f t="shared" si="6"/>
        <v>0</v>
      </c>
      <c r="U77" s="209"/>
      <c r="V77" s="209"/>
      <c r="W77" s="209"/>
      <c r="X77" s="209"/>
      <c r="Y77" s="210"/>
      <c r="Z77" s="208" t="str">
        <f t="shared" si="7"/>
        <v>0</v>
      </c>
      <c r="AA77" s="209"/>
      <c r="AB77" s="209"/>
      <c r="AC77" s="209"/>
      <c r="AD77" s="209"/>
      <c r="AE77" s="210"/>
      <c r="AF77" s="208" t="str">
        <f t="shared" si="8"/>
        <v>0</v>
      </c>
      <c r="AG77" s="209"/>
      <c r="AH77" s="209"/>
      <c r="AI77" s="209"/>
      <c r="AJ77" s="209"/>
      <c r="AK77" s="210"/>
      <c r="AL77" s="208" t="str">
        <f t="shared" si="9"/>
        <v>0</v>
      </c>
      <c r="AM77" s="209"/>
      <c r="AN77" s="209"/>
      <c r="AO77" s="209"/>
      <c r="AP77" s="209"/>
      <c r="AQ77" s="210"/>
      <c r="AR77" s="208" t="str">
        <f t="shared" si="10"/>
        <v>0</v>
      </c>
      <c r="AS77" s="209"/>
      <c r="AT77" s="209"/>
      <c r="AU77" s="209"/>
      <c r="AV77" s="209"/>
      <c r="AW77" s="210"/>
      <c r="AX77" s="208" t="str">
        <f t="shared" si="11"/>
        <v>0</v>
      </c>
      <c r="AY77" s="209"/>
      <c r="AZ77" s="209"/>
      <c r="BA77" s="209"/>
      <c r="BB77" s="209"/>
      <c r="BC77" s="210"/>
      <c r="BD77" s="208" t="str">
        <f t="shared" si="12"/>
        <v>0</v>
      </c>
      <c r="BE77" s="209"/>
      <c r="BF77" s="209"/>
      <c r="BG77" s="209"/>
      <c r="BH77" s="209"/>
      <c r="BI77" s="210"/>
      <c r="BJ77" s="208" t="str">
        <f t="shared" si="13"/>
        <v>0</v>
      </c>
      <c r="BK77" s="209"/>
      <c r="BL77" s="209"/>
      <c r="BM77" s="209"/>
      <c r="BN77" s="209"/>
      <c r="BO77" s="210"/>
      <c r="BP77" s="208" t="str">
        <f t="shared" si="14"/>
        <v>0</v>
      </c>
      <c r="BQ77" s="209"/>
      <c r="BR77" s="209"/>
      <c r="BS77" s="209"/>
      <c r="BT77" s="209"/>
      <c r="BU77" s="210"/>
      <c r="BV77" s="208" t="str">
        <f t="shared" si="15"/>
        <v>0</v>
      </c>
      <c r="BW77" s="209"/>
      <c r="BX77" s="209"/>
      <c r="BY77" s="209"/>
      <c r="BZ77" s="209"/>
      <c r="CA77" s="210"/>
      <c r="CB77" s="208" t="str">
        <f t="shared" si="16"/>
        <v>0</v>
      </c>
      <c r="CC77" s="209"/>
      <c r="CD77" s="209"/>
      <c r="CE77" s="209"/>
      <c r="CF77" s="209"/>
      <c r="CG77" s="210"/>
      <c r="CH77" s="208" t="str">
        <f t="shared" si="17"/>
        <v>0</v>
      </c>
      <c r="CI77" s="209"/>
      <c r="CJ77" s="209"/>
      <c r="CK77" s="209"/>
      <c r="CL77" s="209"/>
      <c r="CM77" s="210"/>
      <c r="CN77" s="208" t="str">
        <f t="shared" si="18"/>
        <v>0</v>
      </c>
      <c r="CO77" s="209"/>
      <c r="CP77" s="209"/>
      <c r="CQ77" s="209"/>
      <c r="CR77" s="209"/>
      <c r="CS77" s="210"/>
      <c r="CT77" s="71"/>
      <c r="CU77" s="71"/>
      <c r="CV77" s="71"/>
      <c r="CW77" s="71"/>
      <c r="CX77" s="71"/>
      <c r="CY77" s="72"/>
      <c r="CZ77" s="70"/>
      <c r="DA77" s="70"/>
      <c r="DB77" s="70"/>
      <c r="DC77" s="70"/>
      <c r="DD77" s="70"/>
      <c r="DE77" s="70"/>
      <c r="DF77" s="70"/>
      <c r="DG77" s="76"/>
    </row>
    <row r="78" spans="1:111" s="46" customFormat="1" ht="23.25" hidden="1" customHeight="1" x14ac:dyDescent="0.25">
      <c r="B78" s="78"/>
      <c r="C78" s="78"/>
      <c r="D78" s="43">
        <f t="shared" si="3"/>
        <v>0</v>
      </c>
      <c r="E78" s="44"/>
      <c r="F78" s="216"/>
      <c r="G78" s="217"/>
      <c r="H78" s="208" t="str">
        <f t="shared" si="4"/>
        <v>0</v>
      </c>
      <c r="I78" s="223"/>
      <c r="J78" s="223"/>
      <c r="K78" s="223"/>
      <c r="L78" s="223"/>
      <c r="M78" s="224"/>
      <c r="N78" s="208" t="str">
        <f t="shared" si="5"/>
        <v>0</v>
      </c>
      <c r="O78" s="223"/>
      <c r="P78" s="223"/>
      <c r="Q78" s="223"/>
      <c r="R78" s="223"/>
      <c r="S78" s="224"/>
      <c r="T78" s="208" t="str">
        <f t="shared" si="6"/>
        <v>0</v>
      </c>
      <c r="U78" s="223"/>
      <c r="V78" s="223"/>
      <c r="W78" s="223"/>
      <c r="X78" s="223"/>
      <c r="Y78" s="224"/>
      <c r="Z78" s="208" t="str">
        <f t="shared" si="7"/>
        <v>0</v>
      </c>
      <c r="AA78" s="223"/>
      <c r="AB78" s="223"/>
      <c r="AC78" s="223"/>
      <c r="AD78" s="223"/>
      <c r="AE78" s="224"/>
      <c r="AF78" s="208" t="str">
        <f t="shared" si="8"/>
        <v>0</v>
      </c>
      <c r="AG78" s="223"/>
      <c r="AH78" s="223"/>
      <c r="AI78" s="223"/>
      <c r="AJ78" s="223"/>
      <c r="AK78" s="224"/>
      <c r="AL78" s="208" t="str">
        <f t="shared" si="9"/>
        <v>0</v>
      </c>
      <c r="AM78" s="223"/>
      <c r="AN78" s="223"/>
      <c r="AO78" s="223"/>
      <c r="AP78" s="223"/>
      <c r="AQ78" s="224"/>
      <c r="AR78" s="208" t="str">
        <f t="shared" si="10"/>
        <v>0</v>
      </c>
      <c r="AS78" s="223"/>
      <c r="AT78" s="223"/>
      <c r="AU78" s="223"/>
      <c r="AV78" s="223"/>
      <c r="AW78" s="224"/>
      <c r="AX78" s="208" t="str">
        <f t="shared" si="11"/>
        <v>0</v>
      </c>
      <c r="AY78" s="223"/>
      <c r="AZ78" s="223"/>
      <c r="BA78" s="223"/>
      <c r="BB78" s="223"/>
      <c r="BC78" s="224"/>
      <c r="BD78" s="208" t="str">
        <f t="shared" si="12"/>
        <v>0</v>
      </c>
      <c r="BE78" s="223"/>
      <c r="BF78" s="223"/>
      <c r="BG78" s="223"/>
      <c r="BH78" s="223"/>
      <c r="BI78" s="224"/>
      <c r="BJ78" s="208" t="str">
        <f t="shared" si="13"/>
        <v>0</v>
      </c>
      <c r="BK78" s="223"/>
      <c r="BL78" s="223"/>
      <c r="BM78" s="223"/>
      <c r="BN78" s="223"/>
      <c r="BO78" s="224"/>
      <c r="BP78" s="208" t="str">
        <f t="shared" si="14"/>
        <v>0</v>
      </c>
      <c r="BQ78" s="223"/>
      <c r="BR78" s="223"/>
      <c r="BS78" s="223"/>
      <c r="BT78" s="223"/>
      <c r="BU78" s="224"/>
      <c r="BV78" s="208" t="str">
        <f t="shared" si="15"/>
        <v>0</v>
      </c>
      <c r="BW78" s="223"/>
      <c r="BX78" s="223"/>
      <c r="BY78" s="223"/>
      <c r="BZ78" s="223"/>
      <c r="CA78" s="224"/>
      <c r="CB78" s="208" t="str">
        <f t="shared" si="16"/>
        <v>0</v>
      </c>
      <c r="CC78" s="223"/>
      <c r="CD78" s="223"/>
      <c r="CE78" s="223"/>
      <c r="CF78" s="223"/>
      <c r="CG78" s="224"/>
      <c r="CH78" s="208" t="str">
        <f t="shared" si="17"/>
        <v>0</v>
      </c>
      <c r="CI78" s="223"/>
      <c r="CJ78" s="223"/>
      <c r="CK78" s="223"/>
      <c r="CL78" s="223"/>
      <c r="CM78" s="224"/>
      <c r="CN78" s="208" t="str">
        <f t="shared" si="18"/>
        <v>0</v>
      </c>
      <c r="CO78" s="223"/>
      <c r="CP78" s="223"/>
      <c r="CQ78" s="223"/>
      <c r="CR78" s="223"/>
      <c r="CS78" s="224"/>
      <c r="CT78" s="73"/>
      <c r="CU78" s="73"/>
      <c r="CV78" s="73"/>
      <c r="CW78" s="73"/>
      <c r="CX78" s="73"/>
      <c r="CY78" s="74"/>
      <c r="CZ78" s="70"/>
      <c r="DA78" s="70"/>
      <c r="DB78" s="70"/>
      <c r="DC78" s="70"/>
      <c r="DD78" s="70"/>
      <c r="DE78" s="70"/>
      <c r="DF78" s="70"/>
      <c r="DG78" s="77"/>
    </row>
    <row r="79" spans="1:111" ht="23.25" customHeight="1" x14ac:dyDescent="0.2">
      <c r="B79" s="29"/>
      <c r="C79" s="29"/>
      <c r="D79" s="40"/>
      <c r="E79" s="40"/>
      <c r="F79" s="188"/>
      <c r="G79" s="188"/>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X79" s="66"/>
      <c r="BY79" s="66"/>
      <c r="BZ79" s="66"/>
      <c r="CA79" s="66"/>
      <c r="CB79" s="66"/>
      <c r="CC79" s="66"/>
      <c r="CD79" s="66"/>
      <c r="CE79" s="66"/>
      <c r="CF79" s="66"/>
      <c r="CG79" s="66"/>
      <c r="CH79" s="66"/>
      <c r="CI79" s="66"/>
      <c r="CJ79" s="66"/>
      <c r="CK79" s="66"/>
      <c r="CL79" s="66"/>
      <c r="CM79" s="66"/>
      <c r="CN79" s="66"/>
      <c r="CO79" s="66"/>
      <c r="CP79" s="66"/>
      <c r="CQ79" s="66"/>
      <c r="CR79" s="66"/>
      <c r="CS79" s="66"/>
      <c r="DG79" s="66"/>
    </row>
    <row r="80" spans="1:111" ht="23.25" customHeight="1" x14ac:dyDescent="0.2">
      <c r="B80" s="29"/>
      <c r="C80" s="29"/>
      <c r="D80" s="40"/>
      <c r="E80" s="40"/>
      <c r="F80" s="188"/>
      <c r="G80" s="188"/>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X80" s="66"/>
      <c r="BY80" s="66"/>
      <c r="BZ80" s="66"/>
      <c r="CA80" s="66"/>
      <c r="CB80" s="66"/>
      <c r="CC80" s="66"/>
      <c r="CD80" s="66"/>
      <c r="CE80" s="66"/>
      <c r="CF80" s="66"/>
      <c r="CG80" s="66"/>
      <c r="CH80" s="66"/>
      <c r="CI80" s="66"/>
      <c r="CJ80" s="66"/>
      <c r="CK80" s="66"/>
      <c r="CL80" s="66"/>
      <c r="CM80" s="66"/>
      <c r="CN80" s="66"/>
      <c r="CO80" s="66"/>
      <c r="CP80" s="66"/>
      <c r="CQ80" s="66"/>
      <c r="CR80" s="66"/>
      <c r="CS80" s="66"/>
      <c r="DG80" s="66"/>
    </row>
    <row r="81" spans="2:111" ht="23.25" customHeight="1" x14ac:dyDescent="0.2">
      <c r="B81" s="29"/>
      <c r="C81" s="29"/>
      <c r="D81" s="40"/>
      <c r="E81" s="40"/>
      <c r="F81" s="188"/>
      <c r="G81" s="188"/>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c r="AJ81" s="66"/>
      <c r="AK81" s="66"/>
      <c r="AL81" s="66"/>
      <c r="AM81" s="66"/>
      <c r="AN81" s="66"/>
      <c r="AO81" s="66"/>
      <c r="AP81" s="66"/>
      <c r="AQ81" s="66"/>
      <c r="AR81" s="66"/>
      <c r="AS81" s="66"/>
      <c r="AT81" s="66"/>
      <c r="AU81" s="66"/>
      <c r="AV81" s="66"/>
      <c r="AW81" s="66"/>
      <c r="AX81" s="66"/>
      <c r="AY81" s="66"/>
      <c r="AZ81" s="66"/>
      <c r="BA81" s="66"/>
      <c r="BB81" s="66"/>
      <c r="BC81" s="66"/>
      <c r="BD81" s="66"/>
      <c r="BE81" s="66"/>
      <c r="BF81" s="66"/>
      <c r="BG81" s="66"/>
      <c r="BH81" s="66"/>
      <c r="BI81" s="66"/>
      <c r="BJ81" s="66"/>
      <c r="BK81" s="66"/>
      <c r="BL81" s="66"/>
      <c r="BM81" s="66"/>
      <c r="BN81" s="66"/>
      <c r="BO81" s="66"/>
      <c r="BP81" s="66"/>
      <c r="BQ81" s="66"/>
      <c r="BR81" s="66"/>
      <c r="BS81" s="66"/>
      <c r="BT81" s="66"/>
      <c r="BU81" s="66"/>
      <c r="BV81" s="66"/>
      <c r="BW81" s="66"/>
      <c r="BX81" s="66"/>
      <c r="BY81" s="66"/>
      <c r="BZ81" s="66"/>
      <c r="CA81" s="66"/>
      <c r="CB81" s="66"/>
      <c r="CC81" s="66"/>
      <c r="CD81" s="66"/>
      <c r="CE81" s="66"/>
      <c r="CF81" s="66"/>
      <c r="CG81" s="66"/>
      <c r="CH81" s="66"/>
      <c r="CI81" s="66"/>
      <c r="CJ81" s="66"/>
      <c r="CK81" s="66"/>
      <c r="CL81" s="66"/>
      <c r="CM81" s="66"/>
      <c r="CN81" s="66"/>
      <c r="CO81" s="66"/>
      <c r="CP81" s="66"/>
      <c r="CQ81" s="66"/>
      <c r="CR81" s="66"/>
      <c r="CS81" s="66"/>
      <c r="DG81" s="66"/>
    </row>
    <row r="82" spans="2:111" ht="23.25" customHeight="1" x14ac:dyDescent="0.2">
      <c r="B82" s="29"/>
      <c r="C82" s="29"/>
      <c r="D82" s="40"/>
      <c r="E82" s="40"/>
      <c r="F82" s="188"/>
      <c r="G82" s="188"/>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6"/>
      <c r="AK82" s="66"/>
      <c r="AL82" s="66"/>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X82" s="66"/>
      <c r="BY82" s="66"/>
      <c r="BZ82" s="66"/>
      <c r="CA82" s="66"/>
      <c r="CB82" s="66"/>
      <c r="CC82" s="66"/>
      <c r="CD82" s="66"/>
      <c r="CE82" s="66"/>
      <c r="CF82" s="66"/>
      <c r="CG82" s="66"/>
      <c r="CH82" s="66"/>
      <c r="CI82" s="66"/>
      <c r="CJ82" s="66"/>
      <c r="CK82" s="66"/>
      <c r="CL82" s="66"/>
      <c r="CM82" s="66"/>
      <c r="CN82" s="66"/>
      <c r="CO82" s="66"/>
      <c r="CP82" s="66"/>
      <c r="CQ82" s="66"/>
      <c r="CR82" s="66"/>
      <c r="CS82" s="66"/>
      <c r="DG82" s="66"/>
    </row>
    <row r="83" spans="2:111" ht="23.25" customHeight="1" x14ac:dyDescent="0.2">
      <c r="B83" s="29"/>
      <c r="C83" s="29"/>
      <c r="D83" s="40"/>
      <c r="E83" s="40"/>
      <c r="F83" s="188"/>
      <c r="G83" s="188"/>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6"/>
      <c r="AK83" s="66"/>
      <c r="AL83" s="66"/>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X83" s="66"/>
      <c r="BY83" s="66"/>
      <c r="BZ83" s="66"/>
      <c r="CA83" s="66"/>
      <c r="CB83" s="66"/>
      <c r="CC83" s="66"/>
      <c r="CD83" s="66"/>
      <c r="CE83" s="66"/>
      <c r="CF83" s="66"/>
      <c r="CG83" s="66"/>
      <c r="CH83" s="66"/>
      <c r="CI83" s="66"/>
      <c r="CJ83" s="66"/>
      <c r="CK83" s="66"/>
      <c r="CL83" s="66"/>
      <c r="CM83" s="66"/>
      <c r="CN83" s="66"/>
      <c r="CO83" s="66"/>
      <c r="CP83" s="66"/>
      <c r="CQ83" s="66"/>
      <c r="CR83" s="66"/>
      <c r="CS83" s="66"/>
      <c r="DG83" s="66"/>
    </row>
    <row r="84" spans="2:111" ht="23.25" customHeight="1" x14ac:dyDescent="0.2">
      <c r="B84" s="29"/>
      <c r="C84" s="29"/>
      <c r="D84" s="40"/>
      <c r="E84" s="40"/>
      <c r="F84" s="188"/>
      <c r="G84" s="188"/>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X84" s="66"/>
      <c r="BY84" s="66"/>
      <c r="BZ84" s="66"/>
      <c r="CA84" s="66"/>
      <c r="CB84" s="66"/>
      <c r="CC84" s="66"/>
      <c r="CD84" s="66"/>
      <c r="CE84" s="66"/>
      <c r="CF84" s="66"/>
      <c r="CG84" s="66"/>
      <c r="CH84" s="66"/>
      <c r="CI84" s="66"/>
      <c r="CJ84" s="66"/>
      <c r="CK84" s="66"/>
      <c r="CL84" s="66"/>
      <c r="CM84" s="66"/>
      <c r="CN84" s="66"/>
      <c r="CO84" s="66"/>
      <c r="CP84" s="66"/>
      <c r="CQ84" s="66"/>
      <c r="CR84" s="66"/>
      <c r="CS84" s="66"/>
      <c r="DG84" s="66"/>
    </row>
    <row r="85" spans="2:111" ht="23.25" customHeight="1" x14ac:dyDescent="0.2">
      <c r="B85" s="29"/>
      <c r="C85" s="29"/>
      <c r="D85" s="40"/>
      <c r="E85" s="40"/>
      <c r="F85" s="188"/>
      <c r="G85" s="188"/>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X85" s="66"/>
      <c r="BY85" s="66"/>
      <c r="BZ85" s="66"/>
      <c r="CA85" s="66"/>
      <c r="CB85" s="66"/>
      <c r="CC85" s="66"/>
      <c r="CD85" s="66"/>
      <c r="CE85" s="66"/>
      <c r="CF85" s="66"/>
      <c r="CG85" s="66"/>
      <c r="CH85" s="66"/>
      <c r="CI85" s="66"/>
      <c r="CJ85" s="66"/>
      <c r="CK85" s="66"/>
      <c r="CL85" s="66"/>
      <c r="CM85" s="66"/>
      <c r="CN85" s="66"/>
      <c r="CO85" s="66"/>
      <c r="CP85" s="66"/>
      <c r="CQ85" s="66"/>
      <c r="CR85" s="66"/>
      <c r="CS85" s="66"/>
      <c r="DG85" s="66"/>
    </row>
    <row r="86" spans="2:111" ht="23.25" customHeight="1" x14ac:dyDescent="0.2">
      <c r="B86" s="29"/>
      <c r="C86" s="29"/>
      <c r="D86" s="40"/>
      <c r="E86" s="40"/>
      <c r="F86" s="188"/>
      <c r="G86" s="188"/>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X86" s="66"/>
      <c r="BY86" s="66"/>
      <c r="BZ86" s="66"/>
      <c r="CA86" s="66"/>
      <c r="CB86" s="66"/>
      <c r="CC86" s="66"/>
      <c r="CD86" s="66"/>
      <c r="CE86" s="66"/>
      <c r="CF86" s="66"/>
      <c r="CG86" s="66"/>
      <c r="CH86" s="66"/>
      <c r="CI86" s="66"/>
      <c r="CJ86" s="66"/>
      <c r="CK86" s="66"/>
      <c r="CL86" s="66"/>
      <c r="CM86" s="66"/>
      <c r="CN86" s="66"/>
      <c r="CO86" s="66"/>
      <c r="CP86" s="66"/>
      <c r="CQ86" s="66"/>
      <c r="CR86" s="66"/>
      <c r="CS86" s="66"/>
      <c r="DG86" s="66"/>
    </row>
    <row r="87" spans="2:111" ht="23.25" customHeight="1" x14ac:dyDescent="0.2">
      <c r="B87" s="29"/>
      <c r="C87" s="29"/>
      <c r="D87" s="40"/>
      <c r="E87" s="40"/>
      <c r="F87" s="188"/>
      <c r="G87" s="188"/>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6"/>
      <c r="CA87" s="66"/>
      <c r="CB87" s="66"/>
      <c r="CC87" s="66"/>
      <c r="CD87" s="66"/>
      <c r="CE87" s="66"/>
      <c r="CF87" s="66"/>
      <c r="CG87" s="66"/>
      <c r="CH87" s="66"/>
      <c r="CI87" s="66"/>
      <c r="CJ87" s="66"/>
      <c r="CK87" s="66"/>
      <c r="CL87" s="66"/>
      <c r="CM87" s="66"/>
      <c r="CN87" s="66"/>
      <c r="CO87" s="66"/>
      <c r="CP87" s="66"/>
      <c r="CQ87" s="66"/>
      <c r="CR87" s="66"/>
      <c r="CS87" s="66"/>
      <c r="DG87" s="66"/>
    </row>
    <row r="88" spans="2:111" ht="23.25" customHeight="1" x14ac:dyDescent="0.2">
      <c r="B88" s="29"/>
      <c r="C88" s="29"/>
      <c r="D88" s="40"/>
      <c r="E88" s="40"/>
      <c r="F88" s="188"/>
      <c r="G88" s="188"/>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X88" s="66"/>
      <c r="BY88" s="66"/>
      <c r="BZ88" s="66"/>
      <c r="CA88" s="66"/>
      <c r="CB88" s="66"/>
      <c r="CC88" s="66"/>
      <c r="CD88" s="66"/>
      <c r="CE88" s="66"/>
      <c r="CF88" s="66"/>
      <c r="CG88" s="66"/>
      <c r="CH88" s="66"/>
      <c r="CI88" s="66"/>
      <c r="CJ88" s="66"/>
      <c r="CK88" s="66"/>
      <c r="CL88" s="66"/>
      <c r="CM88" s="66"/>
      <c r="CN88" s="66"/>
      <c r="CO88" s="66"/>
      <c r="CP88" s="66"/>
      <c r="CQ88" s="66"/>
      <c r="CR88" s="66"/>
      <c r="CS88" s="66"/>
      <c r="DG88" s="66"/>
    </row>
    <row r="89" spans="2:111" ht="23.25" customHeight="1" x14ac:dyDescent="0.2">
      <c r="B89" s="29"/>
      <c r="C89" s="29"/>
      <c r="D89" s="40"/>
      <c r="E89" s="40"/>
      <c r="F89" s="188"/>
      <c r="G89" s="188"/>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6"/>
      <c r="AK89" s="66"/>
      <c r="AL89" s="66"/>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X89" s="66"/>
      <c r="BY89" s="66"/>
      <c r="BZ89" s="66"/>
      <c r="CA89" s="66"/>
      <c r="CB89" s="66"/>
      <c r="CC89" s="66"/>
      <c r="CD89" s="66"/>
      <c r="CE89" s="66"/>
      <c r="CF89" s="66"/>
      <c r="CG89" s="66"/>
      <c r="CH89" s="66"/>
      <c r="CI89" s="66"/>
      <c r="CJ89" s="66"/>
      <c r="CK89" s="66"/>
      <c r="CL89" s="66"/>
      <c r="CM89" s="66"/>
      <c r="CN89" s="66"/>
      <c r="CO89" s="66"/>
      <c r="CP89" s="66"/>
      <c r="CQ89" s="66"/>
      <c r="CR89" s="66"/>
      <c r="CS89" s="66"/>
      <c r="DG89" s="66"/>
    </row>
    <row r="90" spans="2:111" ht="23.25" customHeight="1" x14ac:dyDescent="0.2">
      <c r="B90" s="29"/>
      <c r="C90" s="29"/>
      <c r="D90" s="40"/>
      <c r="E90" s="40"/>
      <c r="F90" s="188"/>
      <c r="G90" s="188"/>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6"/>
      <c r="AK90" s="66"/>
      <c r="AL90" s="66"/>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X90" s="66"/>
      <c r="BY90" s="66"/>
      <c r="BZ90" s="66"/>
      <c r="CA90" s="66"/>
      <c r="CB90" s="66"/>
      <c r="CC90" s="66"/>
      <c r="CD90" s="66"/>
      <c r="CE90" s="66"/>
      <c r="CF90" s="66"/>
      <c r="CG90" s="66"/>
      <c r="CH90" s="66"/>
      <c r="CI90" s="66"/>
      <c r="CJ90" s="66"/>
      <c r="CK90" s="66"/>
      <c r="CL90" s="66"/>
      <c r="CM90" s="66"/>
      <c r="CN90" s="66"/>
      <c r="CO90" s="66"/>
      <c r="CP90" s="66"/>
      <c r="CQ90" s="66"/>
      <c r="CR90" s="66"/>
      <c r="CS90" s="66"/>
      <c r="DG90" s="66"/>
    </row>
    <row r="91" spans="2:111" ht="23.25" customHeight="1" x14ac:dyDescent="0.2">
      <c r="B91" s="29"/>
      <c r="C91" s="29"/>
      <c r="D91" s="40"/>
      <c r="E91" s="40"/>
      <c r="F91" s="188"/>
      <c r="G91" s="188"/>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X91" s="66"/>
      <c r="BY91" s="66"/>
      <c r="BZ91" s="66"/>
      <c r="CA91" s="66"/>
      <c r="CB91" s="66"/>
      <c r="CC91" s="66"/>
      <c r="CD91" s="66"/>
      <c r="CE91" s="66"/>
      <c r="CF91" s="66"/>
      <c r="CG91" s="66"/>
      <c r="CH91" s="66"/>
      <c r="CI91" s="66"/>
      <c r="CJ91" s="66"/>
      <c r="CK91" s="66"/>
      <c r="CL91" s="66"/>
      <c r="CM91" s="66"/>
      <c r="CN91" s="66"/>
      <c r="CO91" s="66"/>
      <c r="CP91" s="66"/>
      <c r="CQ91" s="66"/>
      <c r="CR91" s="66"/>
      <c r="CS91" s="66"/>
      <c r="DG91" s="66"/>
    </row>
    <row r="92" spans="2:111" ht="23.25" customHeight="1" x14ac:dyDescent="0.2">
      <c r="B92" s="29"/>
      <c r="C92" s="29"/>
      <c r="D92" s="40"/>
      <c r="E92" s="40"/>
      <c r="F92" s="188"/>
      <c r="G92" s="188"/>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X92" s="66"/>
      <c r="BY92" s="66"/>
      <c r="BZ92" s="66"/>
      <c r="CA92" s="66"/>
      <c r="CB92" s="66"/>
      <c r="CC92" s="66"/>
      <c r="CD92" s="66"/>
      <c r="CE92" s="66"/>
      <c r="CF92" s="66"/>
      <c r="CG92" s="66"/>
      <c r="CH92" s="66"/>
      <c r="CI92" s="66"/>
      <c r="CJ92" s="66"/>
      <c r="CK92" s="66"/>
      <c r="CL92" s="66"/>
      <c r="CM92" s="66"/>
      <c r="CN92" s="66"/>
      <c r="CO92" s="66"/>
      <c r="CP92" s="66"/>
      <c r="CQ92" s="66"/>
      <c r="CR92" s="66"/>
      <c r="CS92" s="66"/>
      <c r="DG92" s="66"/>
    </row>
    <row r="93" spans="2:111" ht="23.25" customHeight="1" x14ac:dyDescent="0.2">
      <c r="B93" s="29"/>
      <c r="C93" s="29"/>
      <c r="D93" s="40"/>
      <c r="E93" s="40"/>
      <c r="F93" s="188"/>
      <c r="G93" s="188"/>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6"/>
      <c r="AK93" s="66"/>
      <c r="AL93" s="66"/>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X93" s="66"/>
      <c r="BY93" s="66"/>
      <c r="BZ93" s="66"/>
      <c r="CA93" s="66"/>
      <c r="CB93" s="66"/>
      <c r="CC93" s="66"/>
      <c r="CD93" s="66"/>
      <c r="CE93" s="66"/>
      <c r="CF93" s="66"/>
      <c r="CG93" s="66"/>
      <c r="CH93" s="66"/>
      <c r="CI93" s="66"/>
      <c r="CJ93" s="66"/>
      <c r="CK93" s="66"/>
      <c r="CL93" s="66"/>
      <c r="CM93" s="66"/>
      <c r="CN93" s="66"/>
      <c r="CO93" s="66"/>
      <c r="CP93" s="66"/>
      <c r="CQ93" s="66"/>
      <c r="CR93" s="66"/>
      <c r="CS93" s="66"/>
      <c r="DG93" s="66"/>
    </row>
    <row r="94" spans="2:111" ht="23.25" customHeight="1" x14ac:dyDescent="0.2">
      <c r="B94" s="29"/>
      <c r="C94" s="29"/>
      <c r="D94" s="40"/>
      <c r="E94" s="40"/>
      <c r="F94" s="188"/>
      <c r="G94" s="188"/>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DG94" s="66"/>
    </row>
    <row r="95" spans="2:111" ht="23.25" customHeight="1" x14ac:dyDescent="0.2">
      <c r="B95" s="29"/>
      <c r="C95" s="29"/>
      <c r="D95" s="40"/>
      <c r="E95" s="40"/>
      <c r="F95" s="188"/>
      <c r="G95" s="188"/>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DG95" s="66"/>
    </row>
    <row r="96" spans="2:111" ht="23.25" customHeight="1" x14ac:dyDescent="0.2">
      <c r="B96" s="29"/>
      <c r="C96" s="29"/>
      <c r="D96" s="40"/>
      <c r="E96" s="40"/>
      <c r="F96" s="188"/>
      <c r="G96" s="188"/>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DG96" s="66"/>
    </row>
    <row r="97" spans="2:111" ht="23.25" customHeight="1" x14ac:dyDescent="0.2">
      <c r="B97" s="29"/>
      <c r="C97" s="29"/>
      <c r="D97" s="40"/>
      <c r="E97" s="40"/>
      <c r="F97" s="188"/>
      <c r="G97" s="188"/>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DG97" s="66"/>
    </row>
    <row r="98" spans="2:111" ht="23.25" customHeight="1" x14ac:dyDescent="0.2">
      <c r="B98" s="29"/>
      <c r="C98" s="29"/>
      <c r="D98" s="40"/>
      <c r="E98" s="40"/>
      <c r="F98" s="188"/>
      <c r="G98" s="188"/>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DG98" s="66"/>
    </row>
    <row r="99" spans="2:111" ht="23.25" customHeight="1" x14ac:dyDescent="0.2">
      <c r="B99" s="29"/>
      <c r="C99" s="29"/>
      <c r="D99" s="40"/>
      <c r="E99" s="40"/>
      <c r="F99" s="188"/>
      <c r="G99" s="188"/>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DG99" s="66"/>
    </row>
    <row r="100" spans="2:111" ht="23.25" customHeight="1" x14ac:dyDescent="0.2">
      <c r="B100" s="29"/>
      <c r="C100" s="29"/>
      <c r="D100" s="40"/>
      <c r="E100" s="40"/>
      <c r="F100" s="188"/>
      <c r="G100" s="188"/>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DG100" s="66"/>
    </row>
    <row r="101" spans="2:111" ht="23.25" customHeight="1" x14ac:dyDescent="0.2">
      <c r="B101" s="29"/>
      <c r="C101" s="29"/>
      <c r="D101" s="40"/>
      <c r="E101" s="40"/>
      <c r="F101" s="188"/>
      <c r="G101" s="188"/>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DG101" s="66"/>
    </row>
    <row r="102" spans="2:111" ht="23.25" customHeight="1" x14ac:dyDescent="0.2">
      <c r="B102" s="29"/>
      <c r="C102" s="29"/>
      <c r="D102" s="40"/>
      <c r="E102" s="40"/>
      <c r="F102" s="188"/>
      <c r="G102" s="188"/>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DG102" s="66"/>
    </row>
    <row r="103" spans="2:111" ht="23.25" customHeight="1" x14ac:dyDescent="0.2">
      <c r="B103" s="29"/>
      <c r="C103" s="29"/>
      <c r="D103" s="40"/>
      <c r="E103" s="40"/>
      <c r="F103" s="188"/>
      <c r="G103" s="188"/>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DG103" s="66"/>
    </row>
    <row r="104" spans="2:111" ht="23.25" customHeight="1" x14ac:dyDescent="0.2">
      <c r="B104" s="29"/>
      <c r="C104" s="29"/>
      <c r="D104" s="40"/>
      <c r="E104" s="40"/>
      <c r="F104" s="188"/>
      <c r="G104" s="188"/>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DG104" s="66"/>
    </row>
    <row r="105" spans="2:111" ht="23.25" customHeight="1" x14ac:dyDescent="0.2">
      <c r="B105" s="29"/>
      <c r="C105" s="29"/>
      <c r="D105" s="40"/>
      <c r="E105" s="40"/>
      <c r="F105" s="188"/>
      <c r="G105" s="188"/>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DG105" s="66"/>
    </row>
    <row r="106" spans="2:111" ht="23.25" customHeight="1" x14ac:dyDescent="0.2">
      <c r="B106" s="29"/>
      <c r="C106" s="29"/>
      <c r="D106" s="40"/>
      <c r="E106" s="40"/>
      <c r="F106" s="188"/>
      <c r="G106" s="188"/>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DG106" s="66"/>
    </row>
    <row r="107" spans="2:111" ht="23.25" customHeight="1" x14ac:dyDescent="0.2">
      <c r="B107" s="29"/>
      <c r="C107" s="29"/>
      <c r="D107" s="40"/>
      <c r="E107" s="40"/>
      <c r="F107" s="188"/>
      <c r="G107" s="188"/>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DG107" s="66"/>
    </row>
    <row r="108" spans="2:111" ht="23.25" customHeight="1" x14ac:dyDescent="0.2">
      <c r="B108" s="29"/>
      <c r="C108" s="29"/>
      <c r="D108" s="40"/>
      <c r="E108" s="40"/>
      <c r="F108" s="188"/>
      <c r="G108" s="188"/>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DG108" s="66"/>
    </row>
    <row r="109" spans="2:111" ht="23.25" customHeight="1" x14ac:dyDescent="0.2">
      <c r="B109" s="29"/>
      <c r="C109" s="29"/>
      <c r="D109" s="40"/>
      <c r="E109" s="40"/>
      <c r="F109" s="188"/>
      <c r="G109" s="188"/>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DG109" s="66"/>
    </row>
    <row r="110" spans="2:111" ht="23.25" customHeight="1" x14ac:dyDescent="0.2">
      <c r="B110" s="29"/>
      <c r="C110" s="29"/>
      <c r="D110" s="40"/>
      <c r="E110" s="40"/>
      <c r="F110" s="188"/>
      <c r="G110" s="188"/>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DG110" s="66"/>
    </row>
    <row r="111" spans="2:111" ht="23.25" customHeight="1" x14ac:dyDescent="0.2">
      <c r="B111" s="29"/>
      <c r="C111" s="29"/>
      <c r="D111" s="40"/>
      <c r="E111" s="40"/>
      <c r="F111" s="188"/>
      <c r="G111" s="188"/>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DG111" s="66"/>
    </row>
    <row r="112" spans="2:111" ht="23.25" customHeight="1" x14ac:dyDescent="0.2">
      <c r="B112" s="29"/>
      <c r="C112" s="29"/>
      <c r="D112" s="40"/>
      <c r="E112" s="40"/>
      <c r="F112" s="188"/>
      <c r="G112" s="188"/>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DG112" s="66"/>
    </row>
    <row r="113" spans="2:111" ht="23.25" customHeight="1" x14ac:dyDescent="0.2">
      <c r="B113" s="29"/>
      <c r="C113" s="29"/>
      <c r="D113" s="40"/>
      <c r="E113" s="40"/>
      <c r="F113" s="188"/>
      <c r="G113" s="188"/>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DG113" s="66"/>
    </row>
    <row r="114" spans="2:111" ht="23.25" customHeight="1" x14ac:dyDescent="0.2">
      <c r="B114" s="29"/>
      <c r="C114" s="29"/>
      <c r="D114" s="40"/>
      <c r="E114" s="40"/>
      <c r="F114" s="188"/>
      <c r="G114" s="188"/>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DG114" s="66"/>
    </row>
    <row r="115" spans="2:111" ht="23.25" customHeight="1" x14ac:dyDescent="0.2">
      <c r="B115" s="29"/>
      <c r="C115" s="29"/>
      <c r="D115" s="40"/>
      <c r="E115" s="40"/>
      <c r="F115" s="188"/>
      <c r="G115" s="188"/>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DG115" s="66"/>
    </row>
    <row r="116" spans="2:111" ht="23.25" customHeight="1" x14ac:dyDescent="0.2">
      <c r="B116" s="29"/>
      <c r="C116" s="29"/>
      <c r="D116" s="40"/>
      <c r="E116" s="40"/>
      <c r="F116" s="188"/>
      <c r="G116" s="188"/>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DG116" s="66"/>
    </row>
    <row r="117" spans="2:111" ht="23.25" customHeight="1" x14ac:dyDescent="0.2">
      <c r="B117" s="29"/>
      <c r="C117" s="29"/>
      <c r="D117" s="40"/>
      <c r="E117" s="40"/>
      <c r="F117" s="188"/>
      <c r="G117" s="188"/>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DG117" s="66"/>
    </row>
    <row r="118" spans="2:111" ht="23.25" customHeight="1" x14ac:dyDescent="0.2">
      <c r="B118" s="29"/>
      <c r="C118" s="29"/>
      <c r="D118" s="40"/>
      <c r="E118" s="40"/>
      <c r="F118" s="188"/>
      <c r="G118" s="188"/>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DG118" s="66"/>
    </row>
    <row r="119" spans="2:111" ht="23.25" customHeight="1" x14ac:dyDescent="0.2">
      <c r="B119" s="29"/>
      <c r="C119" s="29"/>
      <c r="D119" s="40"/>
      <c r="E119" s="40"/>
      <c r="F119" s="188"/>
      <c r="G119" s="188"/>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DG119" s="66"/>
    </row>
    <row r="120" spans="2:111" ht="23.25" customHeight="1" x14ac:dyDescent="0.2">
      <c r="B120" s="29"/>
      <c r="C120" s="29"/>
      <c r="D120" s="40"/>
      <c r="E120" s="40"/>
      <c r="F120" s="188"/>
      <c r="G120" s="188"/>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DG120" s="66"/>
    </row>
    <row r="121" spans="2:111" ht="23.25" customHeight="1" x14ac:dyDescent="0.2">
      <c r="B121" s="29"/>
      <c r="C121" s="29"/>
      <c r="D121" s="40"/>
      <c r="E121" s="40"/>
      <c r="F121" s="188"/>
      <c r="G121" s="188"/>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DG121" s="66"/>
    </row>
    <row r="122" spans="2:111" ht="23.25" customHeight="1" x14ac:dyDescent="0.2">
      <c r="B122" s="29"/>
      <c r="C122" s="29"/>
      <c r="D122" s="40"/>
      <c r="E122" s="40"/>
      <c r="F122" s="188"/>
      <c r="G122" s="188"/>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DG122" s="66"/>
    </row>
    <row r="123" spans="2:111" ht="23.25" customHeight="1" x14ac:dyDescent="0.2">
      <c r="B123" s="29"/>
      <c r="C123" s="29"/>
      <c r="D123" s="40"/>
      <c r="E123" s="40"/>
      <c r="F123" s="188"/>
      <c r="G123" s="188"/>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DG123" s="66"/>
    </row>
    <row r="124" spans="2:111" ht="23.25" customHeight="1" x14ac:dyDescent="0.2">
      <c r="B124" s="29"/>
      <c r="C124" s="29"/>
      <c r="D124" s="40"/>
      <c r="E124" s="40"/>
      <c r="F124" s="188"/>
      <c r="G124" s="188"/>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DG124" s="66"/>
    </row>
    <row r="125" spans="2:111" ht="23.25" customHeight="1" x14ac:dyDescent="0.2">
      <c r="B125" s="29"/>
      <c r="C125" s="29"/>
      <c r="D125" s="40"/>
      <c r="E125" s="40"/>
      <c r="F125" s="188"/>
      <c r="G125" s="188"/>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DG125" s="66"/>
    </row>
    <row r="126" spans="2:111" ht="23.25" customHeight="1" x14ac:dyDescent="0.2">
      <c r="B126" s="29"/>
      <c r="C126" s="29"/>
      <c r="D126" s="40"/>
      <c r="E126" s="40"/>
      <c r="F126" s="188"/>
      <c r="G126" s="188"/>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DG126" s="66"/>
    </row>
    <row r="127" spans="2:111" ht="23.25" customHeight="1" x14ac:dyDescent="0.2">
      <c r="B127" s="29"/>
      <c r="C127" s="29"/>
      <c r="D127" s="40"/>
      <c r="E127" s="40"/>
      <c r="F127" s="188"/>
      <c r="G127" s="188"/>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DG127" s="66"/>
    </row>
    <row r="128" spans="2:111" ht="23.25" customHeight="1" x14ac:dyDescent="0.2">
      <c r="B128" s="29"/>
      <c r="C128" s="29"/>
      <c r="D128" s="40"/>
      <c r="E128" s="40"/>
      <c r="F128" s="188"/>
      <c r="G128" s="188"/>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DG128" s="66"/>
    </row>
    <row r="129" spans="2:111" ht="23.25" customHeight="1" x14ac:dyDescent="0.2">
      <c r="B129" s="29"/>
      <c r="C129" s="29"/>
      <c r="D129" s="40"/>
      <c r="E129" s="40"/>
      <c r="F129" s="188"/>
      <c r="G129" s="188"/>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DG129" s="66"/>
    </row>
    <row r="130" spans="2:111" ht="23.25" customHeight="1" x14ac:dyDescent="0.2">
      <c r="B130" s="29"/>
      <c r="C130" s="29"/>
      <c r="D130" s="40"/>
      <c r="E130" s="40"/>
      <c r="F130" s="188"/>
      <c r="G130" s="188"/>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DG130" s="66"/>
    </row>
    <row r="131" spans="2:111" ht="23.25" customHeight="1" x14ac:dyDescent="0.2">
      <c r="B131" s="29"/>
      <c r="C131" s="29"/>
      <c r="D131" s="40"/>
      <c r="E131" s="40"/>
      <c r="F131" s="188"/>
      <c r="G131" s="188"/>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DG131" s="66"/>
    </row>
    <row r="132" spans="2:111" ht="23.25" customHeight="1" x14ac:dyDescent="0.2">
      <c r="B132" s="29"/>
      <c r="C132" s="29"/>
      <c r="D132" s="40"/>
      <c r="E132" s="40"/>
      <c r="F132" s="188"/>
      <c r="G132" s="188"/>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DG132" s="66"/>
    </row>
    <row r="133" spans="2:111" ht="23.25" customHeight="1" x14ac:dyDescent="0.2">
      <c r="B133" s="29"/>
      <c r="C133" s="29"/>
      <c r="D133" s="40"/>
      <c r="E133" s="40"/>
      <c r="F133" s="188"/>
      <c r="G133" s="188"/>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DG133" s="66"/>
    </row>
    <row r="134" spans="2:111" ht="23.25" customHeight="1" x14ac:dyDescent="0.2">
      <c r="B134" s="29"/>
      <c r="C134" s="29"/>
      <c r="D134" s="40"/>
      <c r="E134" s="40"/>
      <c r="F134" s="188"/>
      <c r="G134" s="188"/>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DG134" s="66"/>
    </row>
    <row r="135" spans="2:111" ht="23.25" customHeight="1" x14ac:dyDescent="0.2">
      <c r="B135" s="29"/>
      <c r="C135" s="29"/>
      <c r="D135" s="40"/>
      <c r="E135" s="40"/>
      <c r="F135" s="188"/>
      <c r="G135" s="188"/>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DG135" s="66"/>
    </row>
    <row r="136" spans="2:111" ht="23.25" customHeight="1" x14ac:dyDescent="0.2">
      <c r="B136" s="29"/>
      <c r="C136" s="29"/>
      <c r="D136" s="40"/>
      <c r="E136" s="40"/>
      <c r="F136" s="188"/>
      <c r="G136" s="188"/>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DG136" s="66"/>
    </row>
    <row r="137" spans="2:111" ht="23.25" customHeight="1" x14ac:dyDescent="0.2">
      <c r="B137" s="29"/>
      <c r="C137" s="29"/>
      <c r="D137" s="40"/>
      <c r="E137" s="40"/>
      <c r="F137" s="188"/>
      <c r="G137" s="188"/>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DG137" s="66"/>
    </row>
    <row r="138" spans="2:111" ht="23.25" customHeight="1" x14ac:dyDescent="0.2">
      <c r="B138" s="29"/>
      <c r="C138" s="29"/>
      <c r="D138" s="40"/>
      <c r="E138" s="40"/>
      <c r="F138" s="188"/>
      <c r="G138" s="188"/>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DG138" s="66"/>
    </row>
    <row r="139" spans="2:111" ht="23.25" customHeight="1" x14ac:dyDescent="0.2">
      <c r="B139" s="29"/>
      <c r="C139" s="29"/>
      <c r="D139" s="40"/>
      <c r="E139" s="40"/>
      <c r="F139" s="188"/>
      <c r="G139" s="188"/>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DG139" s="66"/>
    </row>
    <row r="140" spans="2:111" ht="23.25" customHeight="1" x14ac:dyDescent="0.2">
      <c r="B140" s="29"/>
      <c r="C140" s="29"/>
      <c r="D140" s="40"/>
      <c r="E140" s="40"/>
      <c r="F140" s="188"/>
      <c r="G140" s="188"/>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DG140" s="66"/>
    </row>
    <row r="141" spans="2:111" ht="23.25" customHeight="1" x14ac:dyDescent="0.2">
      <c r="B141" s="29"/>
      <c r="C141" s="29"/>
      <c r="D141" s="40"/>
      <c r="E141" s="40"/>
      <c r="F141" s="188"/>
      <c r="G141" s="188"/>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DG141" s="66"/>
    </row>
    <row r="142" spans="2:111" ht="23.25" customHeight="1" x14ac:dyDescent="0.2">
      <c r="B142" s="29"/>
      <c r="C142" s="29"/>
      <c r="D142" s="40"/>
      <c r="E142" s="40"/>
      <c r="F142" s="188"/>
      <c r="G142" s="188"/>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DG142" s="66"/>
    </row>
    <row r="143" spans="2:111" ht="23.25" customHeight="1" x14ac:dyDescent="0.2">
      <c r="B143" s="29"/>
      <c r="C143" s="29"/>
      <c r="D143" s="40"/>
      <c r="E143" s="40"/>
      <c r="F143" s="188"/>
      <c r="G143" s="188"/>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DG143" s="66"/>
    </row>
    <row r="144" spans="2:111" ht="23.25" customHeight="1" x14ac:dyDescent="0.2">
      <c r="B144" s="29"/>
      <c r="C144" s="29"/>
      <c r="D144" s="40"/>
      <c r="E144" s="40"/>
      <c r="F144" s="188"/>
      <c r="G144" s="188"/>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DG144" s="66"/>
    </row>
    <row r="145" spans="2:111" ht="23.25" customHeight="1" x14ac:dyDescent="0.2">
      <c r="B145" s="29"/>
      <c r="C145" s="29"/>
      <c r="D145" s="40"/>
      <c r="E145" s="40"/>
      <c r="F145" s="188"/>
      <c r="G145" s="188"/>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DG145" s="66"/>
    </row>
    <row r="146" spans="2:111" ht="23.25" customHeight="1" x14ac:dyDescent="0.2">
      <c r="B146" s="29"/>
      <c r="C146" s="29"/>
      <c r="D146" s="40"/>
      <c r="E146" s="40"/>
      <c r="F146" s="188"/>
      <c r="G146" s="188"/>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DG146" s="66"/>
    </row>
    <row r="147" spans="2:111" ht="23.25" customHeight="1" x14ac:dyDescent="0.2">
      <c r="B147" s="29"/>
      <c r="C147" s="29"/>
      <c r="D147" s="40"/>
      <c r="E147" s="40"/>
      <c r="F147" s="188"/>
      <c r="G147" s="188"/>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DG147" s="66"/>
    </row>
    <row r="148" spans="2:111" ht="23.25" customHeight="1" x14ac:dyDescent="0.2">
      <c r="B148" s="29"/>
      <c r="C148" s="29"/>
      <c r="D148" s="40"/>
      <c r="E148" s="40"/>
      <c r="F148" s="188"/>
      <c r="G148" s="188"/>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DG148" s="66"/>
    </row>
    <row r="149" spans="2:111" ht="23.25" customHeight="1" x14ac:dyDescent="0.2">
      <c r="B149" s="29"/>
      <c r="C149" s="29"/>
      <c r="D149" s="40"/>
      <c r="E149" s="40"/>
      <c r="F149" s="188"/>
      <c r="G149" s="188"/>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DG149" s="66"/>
    </row>
    <row r="150" spans="2:111" ht="23.25" customHeight="1" x14ac:dyDescent="0.2">
      <c r="B150" s="29"/>
      <c r="C150" s="29"/>
      <c r="D150" s="40"/>
      <c r="E150" s="40"/>
      <c r="F150" s="188"/>
      <c r="G150" s="188"/>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DG150" s="66"/>
    </row>
    <row r="151" spans="2:111" ht="23.25" customHeight="1" x14ac:dyDescent="0.2">
      <c r="B151" s="29"/>
      <c r="C151" s="29"/>
      <c r="D151" s="40"/>
      <c r="E151" s="40"/>
      <c r="F151" s="188"/>
      <c r="G151" s="188"/>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DG151" s="66"/>
    </row>
    <row r="152" spans="2:111" ht="23.25" customHeight="1" x14ac:dyDescent="0.2">
      <c r="B152" s="29"/>
      <c r="C152" s="29"/>
      <c r="D152" s="40"/>
      <c r="E152" s="40"/>
      <c r="F152" s="188"/>
      <c r="G152" s="188"/>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DG152" s="66"/>
    </row>
    <row r="153" spans="2:111" ht="23.25" customHeight="1" x14ac:dyDescent="0.2">
      <c r="B153" s="29"/>
      <c r="C153" s="29"/>
      <c r="D153" s="40"/>
      <c r="E153" s="40"/>
      <c r="F153" s="188"/>
      <c r="G153" s="188"/>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DG153" s="66"/>
    </row>
    <row r="154" spans="2:111" ht="23.25" customHeight="1" x14ac:dyDescent="0.2">
      <c r="B154" s="29"/>
      <c r="C154" s="29"/>
      <c r="D154" s="40"/>
      <c r="E154" s="40"/>
      <c r="F154" s="188"/>
      <c r="G154" s="188"/>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DG154" s="66"/>
    </row>
    <row r="155" spans="2:111" ht="23.25" customHeight="1" x14ac:dyDescent="0.2">
      <c r="B155" s="29"/>
      <c r="C155" s="29"/>
      <c r="D155" s="40"/>
      <c r="E155" s="40"/>
      <c r="F155" s="188"/>
      <c r="G155" s="188"/>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DG155" s="66"/>
    </row>
    <row r="156" spans="2:111" ht="23.25" customHeight="1" x14ac:dyDescent="0.2">
      <c r="B156" s="29"/>
      <c r="C156" s="29"/>
      <c r="D156" s="40"/>
      <c r="E156" s="40"/>
      <c r="F156" s="188"/>
      <c r="G156" s="188"/>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DG156" s="66"/>
    </row>
    <row r="157" spans="2:111" ht="23.25" customHeight="1" x14ac:dyDescent="0.2">
      <c r="B157" s="29"/>
      <c r="C157" s="29"/>
      <c r="D157" s="40"/>
      <c r="E157" s="40"/>
      <c r="F157" s="188"/>
      <c r="G157" s="188"/>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DG157" s="66"/>
    </row>
    <row r="158" spans="2:111" ht="23.25" customHeight="1" x14ac:dyDescent="0.2">
      <c r="B158" s="29"/>
      <c r="C158" s="29"/>
      <c r="D158" s="40"/>
      <c r="E158" s="40"/>
      <c r="F158" s="188"/>
      <c r="G158" s="188"/>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DG158" s="66"/>
    </row>
    <row r="159" spans="2:111" ht="23.25" customHeight="1" x14ac:dyDescent="0.2">
      <c r="B159" s="29"/>
      <c r="C159" s="29"/>
      <c r="D159" s="40"/>
      <c r="E159" s="40"/>
      <c r="F159" s="188"/>
      <c r="G159" s="188"/>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DG159" s="66"/>
    </row>
    <row r="160" spans="2:111" ht="23.25" customHeight="1" x14ac:dyDescent="0.2">
      <c r="B160" s="29"/>
      <c r="C160" s="29"/>
      <c r="D160" s="40"/>
      <c r="E160" s="40"/>
      <c r="F160" s="188"/>
      <c r="G160" s="188"/>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DG160" s="66"/>
    </row>
    <row r="161" spans="2:111" ht="23.25" customHeight="1" x14ac:dyDescent="0.2">
      <c r="B161" s="29"/>
      <c r="C161" s="29"/>
      <c r="D161" s="40"/>
      <c r="E161" s="40"/>
      <c r="F161" s="188"/>
      <c r="G161" s="188"/>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DG161" s="66"/>
    </row>
    <row r="162" spans="2:111" ht="23.25" customHeight="1" x14ac:dyDescent="0.2">
      <c r="B162" s="29"/>
      <c r="C162" s="29"/>
      <c r="D162" s="40"/>
      <c r="E162" s="40"/>
      <c r="F162" s="188"/>
      <c r="G162" s="188"/>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DG162" s="66"/>
    </row>
    <row r="163" spans="2:111" ht="23.25" customHeight="1" x14ac:dyDescent="0.2">
      <c r="B163" s="29"/>
      <c r="C163" s="29"/>
      <c r="D163" s="40"/>
      <c r="E163" s="40"/>
      <c r="F163" s="188"/>
      <c r="G163" s="188"/>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DG163" s="66"/>
    </row>
    <row r="164" spans="2:111" ht="23.25" customHeight="1" x14ac:dyDescent="0.2">
      <c r="B164" s="29"/>
      <c r="C164" s="29"/>
      <c r="D164" s="40"/>
      <c r="E164" s="40"/>
      <c r="F164" s="188"/>
      <c r="G164" s="188"/>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DG164" s="66"/>
    </row>
    <row r="165" spans="2:111" ht="23.25" customHeight="1" x14ac:dyDescent="0.2">
      <c r="B165" s="29"/>
      <c r="C165" s="29"/>
      <c r="D165" s="40"/>
      <c r="E165" s="40"/>
      <c r="F165" s="188"/>
      <c r="G165" s="188"/>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DG165" s="66"/>
    </row>
    <row r="166" spans="2:111" ht="23.25" customHeight="1" x14ac:dyDescent="0.2">
      <c r="B166" s="29"/>
      <c r="C166" s="29"/>
      <c r="D166" s="40"/>
      <c r="E166" s="40"/>
      <c r="F166" s="188"/>
      <c r="G166" s="188"/>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DG166" s="66"/>
    </row>
    <row r="167" spans="2:111" ht="23.25" customHeight="1" x14ac:dyDescent="0.2">
      <c r="B167" s="29"/>
      <c r="C167" s="29"/>
      <c r="D167" s="40"/>
      <c r="E167" s="40"/>
      <c r="F167" s="188"/>
      <c r="G167" s="188"/>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DG167" s="66"/>
    </row>
    <row r="168" spans="2:111" ht="23.25" customHeight="1" x14ac:dyDescent="0.2">
      <c r="B168" s="29"/>
      <c r="C168" s="29"/>
      <c r="D168" s="40"/>
      <c r="E168" s="40"/>
      <c r="F168" s="188"/>
      <c r="G168" s="188"/>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DG168" s="66"/>
    </row>
    <row r="169" spans="2:111" ht="23.25" customHeight="1" x14ac:dyDescent="0.2">
      <c r="B169" s="29"/>
      <c r="C169" s="29"/>
      <c r="D169" s="40"/>
      <c r="E169" s="40"/>
      <c r="F169" s="188"/>
      <c r="G169" s="188"/>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DG169" s="66"/>
    </row>
    <row r="170" spans="2:111" ht="23.25" customHeight="1" x14ac:dyDescent="0.2">
      <c r="B170" s="29"/>
      <c r="C170" s="29"/>
      <c r="D170" s="40"/>
      <c r="E170" s="40"/>
      <c r="F170" s="188"/>
      <c r="G170" s="188"/>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DG170" s="66"/>
    </row>
    <row r="171" spans="2:111" ht="23.25" customHeight="1" x14ac:dyDescent="0.2">
      <c r="B171" s="29"/>
      <c r="C171" s="29"/>
      <c r="D171" s="40"/>
      <c r="E171" s="40"/>
      <c r="F171" s="188"/>
      <c r="G171" s="188"/>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DG171" s="66"/>
    </row>
    <row r="172" spans="2:111" ht="23.25" customHeight="1" x14ac:dyDescent="0.2">
      <c r="B172" s="29"/>
      <c r="C172" s="29"/>
      <c r="D172" s="40"/>
      <c r="E172" s="40"/>
      <c r="F172" s="188"/>
      <c r="G172" s="188"/>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DG172" s="66"/>
    </row>
    <row r="173" spans="2:111" ht="23.25" customHeight="1" x14ac:dyDescent="0.2">
      <c r="B173" s="29"/>
      <c r="C173" s="29"/>
      <c r="D173" s="40"/>
      <c r="E173" s="40"/>
      <c r="F173" s="188"/>
      <c r="G173" s="188"/>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DG173" s="66"/>
    </row>
    <row r="174" spans="2:111" ht="23.25" customHeight="1" x14ac:dyDescent="0.2">
      <c r="B174" s="29"/>
      <c r="C174" s="29"/>
      <c r="D174" s="40"/>
      <c r="E174" s="40"/>
      <c r="F174" s="188"/>
      <c r="G174" s="188"/>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DG174" s="66"/>
    </row>
    <row r="175" spans="2:111" ht="23.25" customHeight="1" x14ac:dyDescent="0.2">
      <c r="B175" s="29"/>
      <c r="C175" s="29"/>
      <c r="D175" s="40"/>
      <c r="E175" s="40"/>
      <c r="F175" s="188"/>
      <c r="G175" s="188"/>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DG175" s="66"/>
    </row>
    <row r="176" spans="2:111" ht="23.25" customHeight="1" x14ac:dyDescent="0.2">
      <c r="B176" s="29"/>
      <c r="C176" s="29"/>
      <c r="D176" s="40"/>
      <c r="E176" s="40"/>
      <c r="F176" s="188"/>
      <c r="G176" s="188"/>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DG176" s="66"/>
    </row>
    <row r="177" spans="2:111" ht="23.25" customHeight="1" x14ac:dyDescent="0.2">
      <c r="B177" s="29"/>
      <c r="C177" s="29"/>
      <c r="D177" s="40"/>
      <c r="E177" s="40"/>
      <c r="F177" s="188"/>
      <c r="G177" s="188"/>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DG177" s="66"/>
    </row>
    <row r="178" spans="2:111" ht="23.25" customHeight="1" x14ac:dyDescent="0.2">
      <c r="B178" s="29"/>
      <c r="C178" s="29"/>
      <c r="D178" s="40"/>
      <c r="E178" s="40"/>
      <c r="F178" s="188"/>
      <c r="G178" s="188"/>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DG178" s="66"/>
    </row>
    <row r="179" spans="2:111" ht="23.25" customHeight="1" x14ac:dyDescent="0.2">
      <c r="B179" s="29"/>
      <c r="C179" s="29"/>
      <c r="D179" s="40"/>
      <c r="E179" s="40"/>
      <c r="F179" s="188"/>
      <c r="G179" s="188"/>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DG179" s="66"/>
    </row>
    <row r="180" spans="2:111" ht="23.25" customHeight="1" x14ac:dyDescent="0.2">
      <c r="B180" s="29"/>
      <c r="C180" s="29"/>
      <c r="D180" s="40"/>
      <c r="E180" s="40"/>
      <c r="F180" s="188"/>
      <c r="G180" s="188"/>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DG180" s="66"/>
    </row>
    <row r="181" spans="2:111" ht="23.25" customHeight="1" x14ac:dyDescent="0.2">
      <c r="B181" s="29"/>
      <c r="C181" s="29"/>
      <c r="D181" s="40"/>
      <c r="E181" s="40"/>
      <c r="F181" s="188"/>
      <c r="G181" s="188"/>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DG181" s="66"/>
    </row>
    <row r="182" spans="2:111" ht="23.25" customHeight="1" x14ac:dyDescent="0.2">
      <c r="B182" s="29"/>
      <c r="C182" s="29"/>
      <c r="D182" s="40"/>
      <c r="E182" s="40"/>
      <c r="F182" s="188"/>
      <c r="G182" s="188"/>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DG182" s="66"/>
    </row>
    <row r="183" spans="2:111" ht="23.25" customHeight="1" x14ac:dyDescent="0.2">
      <c r="B183" s="29"/>
      <c r="C183" s="29"/>
      <c r="D183" s="40"/>
      <c r="E183" s="40"/>
      <c r="F183" s="188"/>
      <c r="G183" s="188"/>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DG183" s="66"/>
    </row>
    <row r="184" spans="2:111" ht="23.25" customHeight="1" x14ac:dyDescent="0.2">
      <c r="B184" s="29"/>
      <c r="C184" s="29"/>
      <c r="D184" s="40"/>
      <c r="E184" s="40"/>
      <c r="F184" s="188"/>
      <c r="G184" s="188"/>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DG184" s="66"/>
    </row>
    <row r="185" spans="2:111" ht="23.25" customHeight="1" x14ac:dyDescent="0.2">
      <c r="B185" s="29"/>
      <c r="C185" s="29"/>
      <c r="D185" s="40"/>
      <c r="E185" s="40"/>
      <c r="F185" s="188"/>
      <c r="G185" s="188"/>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DG185" s="66"/>
    </row>
    <row r="186" spans="2:111" ht="23.25" customHeight="1" x14ac:dyDescent="0.2">
      <c r="B186" s="29"/>
      <c r="C186" s="29"/>
      <c r="D186" s="40"/>
      <c r="E186" s="40"/>
      <c r="F186" s="188"/>
      <c r="G186" s="188"/>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DG186" s="66"/>
    </row>
    <row r="187" spans="2:111" ht="23.25" customHeight="1" x14ac:dyDescent="0.2">
      <c r="B187" s="29"/>
      <c r="C187" s="29"/>
      <c r="D187" s="40"/>
      <c r="E187" s="40"/>
      <c r="F187" s="188"/>
      <c r="G187" s="188"/>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DG187" s="66"/>
    </row>
    <row r="188" spans="2:111" ht="23.25" customHeight="1" x14ac:dyDescent="0.2">
      <c r="B188" s="29"/>
      <c r="C188" s="29"/>
      <c r="D188" s="40"/>
      <c r="E188" s="40"/>
      <c r="F188" s="188"/>
      <c r="G188" s="188"/>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DG188" s="66"/>
    </row>
    <row r="189" spans="2:111" ht="23.25" customHeight="1" x14ac:dyDescent="0.2">
      <c r="B189" s="29"/>
      <c r="C189" s="29"/>
      <c r="D189" s="40"/>
      <c r="E189" s="40"/>
      <c r="F189" s="188"/>
      <c r="G189" s="188"/>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DG189" s="66"/>
    </row>
    <row r="190" spans="2:111" ht="23.25" customHeight="1" x14ac:dyDescent="0.2">
      <c r="B190" s="29"/>
      <c r="C190" s="29"/>
      <c r="D190" s="40"/>
      <c r="E190" s="40"/>
      <c r="F190" s="188"/>
      <c r="G190" s="188"/>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DG190" s="66"/>
    </row>
    <row r="191" spans="2:111" ht="23.25" customHeight="1" x14ac:dyDescent="0.2">
      <c r="B191" s="29"/>
      <c r="C191" s="29"/>
      <c r="D191" s="40"/>
      <c r="E191" s="40"/>
      <c r="F191" s="188"/>
      <c r="G191" s="188"/>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DG191" s="66"/>
    </row>
    <row r="192" spans="2:111" ht="23.25" customHeight="1" x14ac:dyDescent="0.2">
      <c r="B192" s="29"/>
      <c r="C192" s="29"/>
      <c r="D192" s="40"/>
      <c r="E192" s="40"/>
      <c r="F192" s="188"/>
      <c r="G192" s="188"/>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DG192" s="66"/>
    </row>
    <row r="193" spans="2:111" ht="23.25" customHeight="1" x14ac:dyDescent="0.2">
      <c r="B193" s="29"/>
      <c r="C193" s="29"/>
      <c r="D193" s="40"/>
      <c r="E193" s="40"/>
      <c r="F193" s="188"/>
      <c r="G193" s="188"/>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DG193" s="66"/>
    </row>
    <row r="194" spans="2:111" ht="23.25" customHeight="1" x14ac:dyDescent="0.2">
      <c r="B194" s="29"/>
      <c r="C194" s="29"/>
      <c r="D194" s="40"/>
      <c r="E194" s="40"/>
      <c r="F194" s="188"/>
      <c r="G194" s="188"/>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DG194" s="66"/>
    </row>
    <row r="195" spans="2:111" ht="23.25" customHeight="1" x14ac:dyDescent="0.2">
      <c r="B195" s="29"/>
      <c r="C195" s="29"/>
      <c r="D195" s="40"/>
      <c r="E195" s="40"/>
      <c r="F195" s="188"/>
      <c r="G195" s="188"/>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DG195" s="66"/>
    </row>
    <row r="196" spans="2:111" ht="23.25" customHeight="1" x14ac:dyDescent="0.2">
      <c r="B196" s="29"/>
      <c r="C196" s="29"/>
      <c r="D196" s="40"/>
      <c r="E196" s="40"/>
      <c r="F196" s="188"/>
      <c r="G196" s="188"/>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DG196" s="66"/>
    </row>
    <row r="197" spans="2:111" ht="23.25" customHeight="1" x14ac:dyDescent="0.2">
      <c r="B197" s="29"/>
      <c r="C197" s="29"/>
      <c r="D197" s="40"/>
      <c r="E197" s="40"/>
      <c r="F197" s="188"/>
      <c r="G197" s="188"/>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DG197" s="66"/>
    </row>
    <row r="198" spans="2:111" ht="23.25" customHeight="1" x14ac:dyDescent="0.2">
      <c r="B198" s="29"/>
      <c r="C198" s="29"/>
      <c r="D198" s="40"/>
      <c r="E198" s="40"/>
      <c r="F198" s="188"/>
      <c r="G198" s="188"/>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DG198" s="66"/>
    </row>
    <row r="199" spans="2:111" ht="23.25" customHeight="1" x14ac:dyDescent="0.2">
      <c r="B199" s="29"/>
      <c r="C199" s="29"/>
      <c r="D199" s="40"/>
      <c r="E199" s="40"/>
      <c r="F199" s="188"/>
      <c r="G199" s="188"/>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DG199" s="66"/>
    </row>
    <row r="200" spans="2:111" ht="23.25" customHeight="1" x14ac:dyDescent="0.2">
      <c r="B200" s="29"/>
      <c r="C200" s="29"/>
      <c r="D200" s="40"/>
      <c r="E200" s="40"/>
      <c r="F200" s="188"/>
      <c r="G200" s="188"/>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DG200" s="66"/>
    </row>
    <row r="201" spans="2:111" ht="23.25" customHeight="1" x14ac:dyDescent="0.2">
      <c r="B201" s="29"/>
      <c r="C201" s="29"/>
      <c r="D201" s="40"/>
      <c r="E201" s="40"/>
      <c r="F201" s="188"/>
      <c r="G201" s="188"/>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DG201" s="66"/>
    </row>
    <row r="202" spans="2:111" ht="23.25" customHeight="1" x14ac:dyDescent="0.2">
      <c r="B202" s="29"/>
      <c r="C202" s="29"/>
      <c r="D202" s="40"/>
      <c r="E202" s="40"/>
      <c r="F202" s="188"/>
      <c r="G202" s="188"/>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DG202" s="66"/>
    </row>
    <row r="203" spans="2:111" ht="23.25" customHeight="1" x14ac:dyDescent="0.2">
      <c r="B203" s="29"/>
      <c r="C203" s="29"/>
      <c r="D203" s="40"/>
      <c r="E203" s="40"/>
      <c r="F203" s="188"/>
      <c r="G203" s="188"/>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DG203" s="66"/>
    </row>
    <row r="204" spans="2:111" ht="23.25" customHeight="1" x14ac:dyDescent="0.2">
      <c r="B204" s="29"/>
      <c r="C204" s="29"/>
      <c r="D204" s="40"/>
      <c r="E204" s="40"/>
      <c r="F204" s="188"/>
      <c r="G204" s="188"/>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DG204" s="66"/>
    </row>
    <row r="205" spans="2:111" ht="23.25" customHeight="1" x14ac:dyDescent="0.2">
      <c r="B205" s="29"/>
      <c r="C205" s="29"/>
      <c r="D205" s="40"/>
      <c r="E205" s="40"/>
      <c r="F205" s="188"/>
      <c r="G205" s="188"/>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DG205" s="66"/>
    </row>
    <row r="206" spans="2:111" ht="23.25" customHeight="1" x14ac:dyDescent="0.2">
      <c r="B206" s="29"/>
      <c r="C206" s="29"/>
      <c r="D206" s="40"/>
      <c r="E206" s="40"/>
      <c r="F206" s="188"/>
      <c r="G206" s="188"/>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DG206" s="66"/>
    </row>
    <row r="207" spans="2:111" ht="23.25" customHeight="1" x14ac:dyDescent="0.2">
      <c r="B207" s="29"/>
      <c r="C207" s="29"/>
      <c r="D207" s="40"/>
      <c r="E207" s="40"/>
      <c r="F207" s="188"/>
      <c r="G207" s="188"/>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DG207" s="66"/>
    </row>
    <row r="208" spans="2:111" ht="23.25" customHeight="1" x14ac:dyDescent="0.2">
      <c r="B208" s="29"/>
      <c r="C208" s="29"/>
      <c r="D208" s="40"/>
      <c r="E208" s="40"/>
      <c r="F208" s="188"/>
      <c r="G208" s="188"/>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DG208" s="66"/>
    </row>
    <row r="209" spans="2:111" ht="23.25" customHeight="1" x14ac:dyDescent="0.2">
      <c r="B209" s="29"/>
      <c r="C209" s="29"/>
      <c r="D209" s="40"/>
      <c r="E209" s="40"/>
      <c r="F209" s="188"/>
      <c r="G209" s="188"/>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DG209" s="66"/>
    </row>
    <row r="210" spans="2:111" ht="23.25" customHeight="1" x14ac:dyDescent="0.2">
      <c r="B210" s="29"/>
      <c r="C210" s="29"/>
      <c r="D210" s="40"/>
      <c r="E210" s="40"/>
      <c r="F210" s="188"/>
      <c r="G210" s="188"/>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DG210" s="66"/>
    </row>
    <row r="211" spans="2:111" ht="23.25" customHeight="1" x14ac:dyDescent="0.2">
      <c r="B211" s="29"/>
      <c r="C211" s="29"/>
      <c r="D211" s="40"/>
      <c r="E211" s="40"/>
      <c r="F211" s="188"/>
      <c r="G211" s="188"/>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DG211" s="66"/>
    </row>
    <row r="212" spans="2:111" ht="23.25" customHeight="1" x14ac:dyDescent="0.2">
      <c r="B212" s="29"/>
      <c r="C212" s="29"/>
      <c r="D212" s="40"/>
      <c r="E212" s="40"/>
      <c r="F212" s="188"/>
      <c r="G212" s="188"/>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DG212" s="66"/>
    </row>
    <row r="213" spans="2:111" ht="23.25" customHeight="1" x14ac:dyDescent="0.2">
      <c r="B213" s="29"/>
      <c r="C213" s="29"/>
      <c r="D213" s="40"/>
      <c r="E213" s="40"/>
      <c r="F213" s="188"/>
      <c r="G213" s="188"/>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DG213" s="66"/>
    </row>
    <row r="214" spans="2:111" ht="23.25" customHeight="1" x14ac:dyDescent="0.2">
      <c r="B214" s="29"/>
      <c r="C214" s="29"/>
      <c r="D214" s="40"/>
      <c r="E214" s="40"/>
      <c r="F214" s="188"/>
      <c r="G214" s="188"/>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DG214" s="66"/>
    </row>
    <row r="215" spans="2:111" ht="23.25" customHeight="1" x14ac:dyDescent="0.2">
      <c r="B215" s="29"/>
      <c r="C215" s="29"/>
      <c r="D215" s="40"/>
      <c r="E215" s="40"/>
      <c r="F215" s="188"/>
      <c r="G215" s="188"/>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DG215" s="66"/>
    </row>
    <row r="216" spans="2:111" ht="23.25" customHeight="1" x14ac:dyDescent="0.2">
      <c r="B216" s="29"/>
      <c r="C216" s="29"/>
      <c r="D216" s="40"/>
      <c r="E216" s="40"/>
      <c r="F216" s="188"/>
      <c r="G216" s="188"/>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DG216" s="66"/>
    </row>
    <row r="217" spans="2:111" ht="23.25" customHeight="1" x14ac:dyDescent="0.2">
      <c r="B217" s="29"/>
      <c r="C217" s="29"/>
      <c r="D217" s="40"/>
      <c r="E217" s="40"/>
      <c r="F217" s="188"/>
      <c r="G217" s="188"/>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DG217" s="66"/>
    </row>
    <row r="218" spans="2:111" ht="23.25" customHeight="1" x14ac:dyDescent="0.2">
      <c r="B218" s="29"/>
      <c r="C218" s="29"/>
      <c r="D218" s="40"/>
      <c r="E218" s="40"/>
      <c r="F218" s="188"/>
      <c r="G218" s="188"/>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DG218" s="66"/>
    </row>
    <row r="219" spans="2:111" ht="23.25" customHeight="1" x14ac:dyDescent="0.2">
      <c r="B219" s="29"/>
      <c r="C219" s="29"/>
      <c r="D219" s="40"/>
      <c r="E219" s="40"/>
      <c r="F219" s="188"/>
      <c r="G219" s="188"/>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DG219" s="66"/>
    </row>
    <row r="220" spans="2:111" ht="23.25" customHeight="1" x14ac:dyDescent="0.2">
      <c r="B220" s="29"/>
      <c r="C220" s="29"/>
      <c r="D220" s="40"/>
      <c r="E220" s="40"/>
      <c r="F220" s="188"/>
      <c r="G220" s="188"/>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DG220" s="66"/>
    </row>
    <row r="221" spans="2:111" ht="23.25" customHeight="1" x14ac:dyDescent="0.2">
      <c r="B221" s="29"/>
      <c r="C221" s="29"/>
      <c r="D221" s="40"/>
      <c r="E221" s="40"/>
      <c r="F221" s="188"/>
      <c r="G221" s="188"/>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DG221" s="66"/>
    </row>
    <row r="222" spans="2:111" ht="23.25" customHeight="1" x14ac:dyDescent="0.2">
      <c r="B222" s="29"/>
      <c r="C222" s="29"/>
      <c r="D222" s="40"/>
      <c r="E222" s="40"/>
      <c r="F222" s="188"/>
      <c r="G222" s="188"/>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DG222" s="66"/>
    </row>
    <row r="223" spans="2:111" ht="23.25" customHeight="1" x14ac:dyDescent="0.2">
      <c r="B223" s="29"/>
      <c r="C223" s="29"/>
      <c r="D223" s="40"/>
      <c r="E223" s="40"/>
      <c r="F223" s="188"/>
      <c r="G223" s="188"/>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DG223" s="66"/>
    </row>
    <row r="224" spans="2:111" ht="23.25" customHeight="1" x14ac:dyDescent="0.2">
      <c r="B224" s="29"/>
      <c r="C224" s="29"/>
      <c r="D224" s="40"/>
      <c r="E224" s="40"/>
      <c r="F224" s="188"/>
      <c r="G224" s="188"/>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DG224" s="66"/>
    </row>
    <row r="225" spans="2:111" ht="23.25" customHeight="1" x14ac:dyDescent="0.2">
      <c r="B225" s="29"/>
      <c r="C225" s="29"/>
      <c r="D225" s="40"/>
      <c r="E225" s="40"/>
      <c r="F225" s="188"/>
      <c r="G225" s="188"/>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DG225" s="66"/>
    </row>
    <row r="226" spans="2:111" ht="23.25" customHeight="1" x14ac:dyDescent="0.2">
      <c r="B226" s="29"/>
      <c r="C226" s="29"/>
      <c r="D226" s="40"/>
      <c r="E226" s="40"/>
      <c r="F226" s="188"/>
      <c r="G226" s="188"/>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DG226" s="66"/>
    </row>
    <row r="227" spans="2:111" ht="23.25" customHeight="1" x14ac:dyDescent="0.2">
      <c r="B227" s="29"/>
      <c r="C227" s="29"/>
      <c r="D227" s="40"/>
      <c r="E227" s="40"/>
      <c r="F227" s="188"/>
      <c r="G227" s="188"/>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DG227" s="66"/>
    </row>
    <row r="228" spans="2:111" ht="23.25" customHeight="1" x14ac:dyDescent="0.2">
      <c r="B228" s="29"/>
      <c r="C228" s="29"/>
      <c r="D228" s="40"/>
      <c r="E228" s="40"/>
      <c r="F228" s="188"/>
      <c r="G228" s="188"/>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DG228" s="66"/>
    </row>
    <row r="229" spans="2:111" ht="23.25" customHeight="1" x14ac:dyDescent="0.2">
      <c r="B229" s="29"/>
      <c r="C229" s="29"/>
      <c r="D229" s="40"/>
      <c r="E229" s="40"/>
      <c r="F229" s="188"/>
      <c r="G229" s="188"/>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DG229" s="66"/>
    </row>
    <row r="230" spans="2:111" ht="23.25" customHeight="1" x14ac:dyDescent="0.2">
      <c r="B230" s="29"/>
      <c r="C230" s="29"/>
      <c r="D230" s="40"/>
      <c r="E230" s="40"/>
      <c r="F230" s="188"/>
      <c r="G230" s="188"/>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DG230" s="66"/>
    </row>
    <row r="231" spans="2:111" ht="23.25" customHeight="1" x14ac:dyDescent="0.2">
      <c r="B231" s="29"/>
      <c r="C231" s="29"/>
      <c r="D231" s="40"/>
      <c r="E231" s="40"/>
      <c r="F231" s="188"/>
      <c r="G231" s="188"/>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DG231" s="66"/>
    </row>
    <row r="232" spans="2:111" ht="23.25" customHeight="1" x14ac:dyDescent="0.2">
      <c r="B232" s="29"/>
      <c r="C232" s="29"/>
      <c r="D232" s="40"/>
      <c r="E232" s="40"/>
      <c r="F232" s="188"/>
      <c r="G232" s="188"/>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DG232" s="66"/>
    </row>
    <row r="233" spans="2:111" ht="23.25" customHeight="1" x14ac:dyDescent="0.2">
      <c r="B233" s="29"/>
      <c r="C233" s="29"/>
      <c r="D233" s="40"/>
      <c r="E233" s="40"/>
      <c r="F233" s="188"/>
      <c r="G233" s="188"/>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DG233" s="66"/>
    </row>
    <row r="234" spans="2:111" ht="23.25" customHeight="1" x14ac:dyDescent="0.2">
      <c r="B234" s="29"/>
      <c r="C234" s="29"/>
      <c r="D234" s="40"/>
      <c r="E234" s="40"/>
      <c r="F234" s="188"/>
      <c r="G234" s="188"/>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DG234" s="66"/>
    </row>
    <row r="235" spans="2:111" ht="23.25" customHeight="1" x14ac:dyDescent="0.2">
      <c r="B235" s="29"/>
      <c r="C235" s="29"/>
      <c r="D235" s="40"/>
      <c r="E235" s="40"/>
      <c r="F235" s="188"/>
      <c r="G235" s="188"/>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DG235" s="66"/>
    </row>
    <row r="236" spans="2:111" ht="23.25" customHeight="1" x14ac:dyDescent="0.2">
      <c r="B236" s="29"/>
      <c r="C236" s="29"/>
      <c r="D236" s="40"/>
      <c r="E236" s="40"/>
      <c r="F236" s="188"/>
      <c r="G236" s="188"/>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DG236" s="66"/>
    </row>
    <row r="237" spans="2:111" ht="23.25" customHeight="1" x14ac:dyDescent="0.2">
      <c r="B237" s="29"/>
      <c r="C237" s="29"/>
      <c r="D237" s="40"/>
      <c r="E237" s="40"/>
      <c r="F237" s="188"/>
      <c r="G237" s="188"/>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DG237" s="66"/>
    </row>
    <row r="238" spans="2:111" ht="23.25" customHeight="1" x14ac:dyDescent="0.2">
      <c r="B238" s="29"/>
      <c r="C238" s="29"/>
      <c r="D238" s="40"/>
      <c r="E238" s="40"/>
      <c r="F238" s="188"/>
      <c r="G238" s="188"/>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DG238" s="66"/>
    </row>
    <row r="239" spans="2:111" ht="23.25" customHeight="1" x14ac:dyDescent="0.2">
      <c r="B239" s="29"/>
      <c r="C239" s="29"/>
      <c r="D239" s="40"/>
      <c r="E239" s="40"/>
      <c r="F239" s="188"/>
      <c r="G239" s="188"/>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DG239" s="66"/>
    </row>
    <row r="240" spans="2:111" ht="23.25" customHeight="1" x14ac:dyDescent="0.2">
      <c r="B240" s="29"/>
      <c r="C240" s="29"/>
      <c r="D240" s="40"/>
      <c r="E240" s="40"/>
      <c r="F240" s="188"/>
      <c r="G240" s="188"/>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DG240" s="66"/>
    </row>
    <row r="241" spans="2:111" ht="23.25" customHeight="1" x14ac:dyDescent="0.2">
      <c r="B241" s="29"/>
      <c r="C241" s="29"/>
      <c r="D241" s="40"/>
      <c r="E241" s="40"/>
      <c r="F241" s="188"/>
      <c r="G241" s="188"/>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DG241" s="66"/>
    </row>
    <row r="242" spans="2:111" ht="23.25" customHeight="1" x14ac:dyDescent="0.2">
      <c r="B242" s="29"/>
      <c r="C242" s="29"/>
      <c r="D242" s="40"/>
      <c r="E242" s="40"/>
      <c r="F242" s="188"/>
      <c r="G242" s="188"/>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DG242" s="66"/>
    </row>
    <row r="243" spans="2:111" ht="23.25" customHeight="1" x14ac:dyDescent="0.2">
      <c r="B243" s="29"/>
      <c r="C243" s="29"/>
      <c r="D243" s="40"/>
      <c r="E243" s="40"/>
      <c r="F243" s="188"/>
      <c r="G243" s="188"/>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DG243" s="66"/>
    </row>
    <row r="244" spans="2:111" ht="23.25" customHeight="1" x14ac:dyDescent="0.2">
      <c r="B244" s="29"/>
      <c r="C244" s="29"/>
      <c r="D244" s="40"/>
      <c r="E244" s="40"/>
      <c r="F244" s="188"/>
      <c r="G244" s="188"/>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DG244" s="66"/>
    </row>
    <row r="245" spans="2:111" ht="23.25" customHeight="1" x14ac:dyDescent="0.2">
      <c r="B245" s="29"/>
      <c r="C245" s="29"/>
      <c r="D245" s="40"/>
      <c r="E245" s="40"/>
      <c r="F245" s="188"/>
      <c r="G245" s="188"/>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DG245" s="66"/>
    </row>
    <row r="246" spans="2:111" ht="23.25" customHeight="1" x14ac:dyDescent="0.2">
      <c r="B246" s="29"/>
      <c r="C246" s="29"/>
      <c r="D246" s="40"/>
      <c r="E246" s="40"/>
      <c r="F246" s="188"/>
      <c r="G246" s="188"/>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DG246" s="66"/>
    </row>
    <row r="247" spans="2:111" ht="23.25" customHeight="1" x14ac:dyDescent="0.2">
      <c r="B247" s="29"/>
      <c r="C247" s="29"/>
      <c r="D247" s="40"/>
      <c r="E247" s="40"/>
      <c r="F247" s="188"/>
      <c r="G247" s="188"/>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DG247" s="66"/>
    </row>
    <row r="248" spans="2:111" ht="23.25" customHeight="1" x14ac:dyDescent="0.2">
      <c r="B248" s="29"/>
      <c r="C248" s="29"/>
      <c r="D248" s="40"/>
      <c r="E248" s="40"/>
      <c r="F248" s="188"/>
      <c r="G248" s="188"/>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DG248" s="66"/>
    </row>
    <row r="249" spans="2:111" ht="23.25" customHeight="1" x14ac:dyDescent="0.2">
      <c r="B249" s="29"/>
      <c r="C249" s="29"/>
      <c r="D249" s="40"/>
      <c r="E249" s="40"/>
      <c r="F249" s="188"/>
      <c r="G249" s="188"/>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DG249" s="66"/>
    </row>
    <row r="250" spans="2:111" ht="23.25" customHeight="1" x14ac:dyDescent="0.2">
      <c r="B250" s="29"/>
      <c r="C250" s="29"/>
      <c r="D250" s="40"/>
      <c r="E250" s="40"/>
      <c r="F250" s="188"/>
      <c r="G250" s="188"/>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DG250" s="66"/>
    </row>
    <row r="251" spans="2:111" ht="23.25" customHeight="1" x14ac:dyDescent="0.2">
      <c r="B251" s="29"/>
      <c r="C251" s="29"/>
      <c r="D251" s="40"/>
      <c r="E251" s="40"/>
      <c r="F251" s="188"/>
      <c r="G251" s="188"/>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DG251" s="66"/>
    </row>
    <row r="252" spans="2:111" ht="23.25" customHeight="1" x14ac:dyDescent="0.2">
      <c r="B252" s="29"/>
      <c r="C252" s="29"/>
      <c r="D252" s="40"/>
      <c r="E252" s="40"/>
      <c r="F252" s="188"/>
      <c r="G252" s="188"/>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DG252" s="66"/>
    </row>
    <row r="253" spans="2:111" ht="23.25" customHeight="1" x14ac:dyDescent="0.2">
      <c r="B253" s="29"/>
      <c r="C253" s="29"/>
      <c r="D253" s="40"/>
      <c r="E253" s="40"/>
      <c r="F253" s="188"/>
      <c r="G253" s="188"/>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DG253" s="66"/>
    </row>
    <row r="254" spans="2:111" ht="23.25" customHeight="1" x14ac:dyDescent="0.2">
      <c r="B254" s="29"/>
      <c r="C254" s="29"/>
      <c r="D254" s="40"/>
      <c r="E254" s="40"/>
      <c r="F254" s="188"/>
      <c r="G254" s="188"/>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DG254" s="66"/>
    </row>
    <row r="255" spans="2:111" ht="23.25" customHeight="1" x14ac:dyDescent="0.2">
      <c r="B255" s="29"/>
      <c r="C255" s="29"/>
      <c r="D255" s="40"/>
      <c r="E255" s="40"/>
      <c r="F255" s="188"/>
      <c r="G255" s="188"/>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DG255" s="66"/>
    </row>
    <row r="256" spans="2:111" ht="23.25" customHeight="1" x14ac:dyDescent="0.2">
      <c r="B256" s="29"/>
      <c r="C256" s="29"/>
      <c r="D256" s="40"/>
      <c r="E256" s="40"/>
      <c r="F256" s="188"/>
      <c r="G256" s="188"/>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DG256" s="66"/>
    </row>
    <row r="257" spans="2:111" ht="23.25" customHeight="1" x14ac:dyDescent="0.2">
      <c r="B257" s="29"/>
      <c r="C257" s="29"/>
      <c r="D257" s="40"/>
      <c r="E257" s="40"/>
      <c r="F257" s="188"/>
      <c r="G257" s="188"/>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DG257" s="66"/>
    </row>
    <row r="258" spans="2:111" ht="23.25" customHeight="1" x14ac:dyDescent="0.2">
      <c r="B258" s="29"/>
      <c r="C258" s="29"/>
      <c r="D258" s="40"/>
      <c r="E258" s="40"/>
      <c r="F258" s="188"/>
      <c r="G258" s="188"/>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DG258" s="66"/>
    </row>
    <row r="259" spans="2:111" ht="23.25" customHeight="1" x14ac:dyDescent="0.2">
      <c r="B259" s="29"/>
      <c r="C259" s="29"/>
      <c r="D259" s="40"/>
      <c r="E259" s="40"/>
      <c r="F259" s="188"/>
      <c r="G259" s="188"/>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DG259" s="66"/>
    </row>
    <row r="260" spans="2:111" ht="23.25" customHeight="1" x14ac:dyDescent="0.2">
      <c r="B260" s="29"/>
      <c r="C260" s="29"/>
      <c r="D260" s="40"/>
      <c r="E260" s="40"/>
      <c r="F260" s="188"/>
      <c r="G260" s="188"/>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DG260" s="66"/>
    </row>
    <row r="261" spans="2:111" ht="23.25" customHeight="1" x14ac:dyDescent="0.2">
      <c r="B261" s="29"/>
      <c r="C261" s="29"/>
      <c r="D261" s="40"/>
      <c r="E261" s="40"/>
      <c r="F261" s="188"/>
      <c r="G261" s="188"/>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DG261" s="66"/>
    </row>
    <row r="262" spans="2:111" ht="23.25" customHeight="1" x14ac:dyDescent="0.2">
      <c r="B262" s="29"/>
      <c r="C262" s="29"/>
      <c r="D262" s="40"/>
      <c r="E262" s="40"/>
      <c r="F262" s="188"/>
      <c r="G262" s="188"/>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DG262" s="66"/>
    </row>
    <row r="263" spans="2:111" ht="23.25" customHeight="1" x14ac:dyDescent="0.2">
      <c r="B263" s="29"/>
      <c r="C263" s="29"/>
      <c r="D263" s="40"/>
      <c r="E263" s="40"/>
      <c r="F263" s="188"/>
      <c r="G263" s="188"/>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DG263" s="66"/>
    </row>
    <row r="264" spans="2:111" ht="23.25" customHeight="1" x14ac:dyDescent="0.2">
      <c r="B264" s="29"/>
      <c r="C264" s="29"/>
      <c r="D264" s="40"/>
      <c r="E264" s="40"/>
      <c r="F264" s="188"/>
      <c r="G264" s="188"/>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DG264" s="66"/>
    </row>
    <row r="265" spans="2:111" ht="23.25" customHeight="1" x14ac:dyDescent="0.2">
      <c r="B265" s="29"/>
      <c r="C265" s="29"/>
      <c r="D265" s="40"/>
      <c r="E265" s="40"/>
      <c r="F265" s="188"/>
      <c r="G265" s="188"/>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DG265" s="66"/>
    </row>
    <row r="266" spans="2:111" ht="23.25" customHeight="1" x14ac:dyDescent="0.2">
      <c r="B266" s="29"/>
      <c r="C266" s="29"/>
      <c r="D266" s="40"/>
      <c r="E266" s="40"/>
      <c r="F266" s="188"/>
      <c r="G266" s="188"/>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DG266" s="66"/>
    </row>
    <row r="267" spans="2:111" ht="23.25" customHeight="1" x14ac:dyDescent="0.2">
      <c r="B267" s="29"/>
      <c r="C267" s="29"/>
      <c r="D267" s="40"/>
      <c r="E267" s="40"/>
      <c r="F267" s="188"/>
      <c r="G267" s="188"/>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DG267" s="66"/>
    </row>
    <row r="268" spans="2:111" ht="23.25" customHeight="1" x14ac:dyDescent="0.2">
      <c r="B268" s="29"/>
      <c r="C268" s="29"/>
      <c r="D268" s="40"/>
      <c r="E268" s="40"/>
      <c r="F268" s="188"/>
      <c r="G268" s="188"/>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DG268" s="66"/>
    </row>
    <row r="269" spans="2:111" ht="23.25" customHeight="1" x14ac:dyDescent="0.2">
      <c r="B269" s="29"/>
      <c r="C269" s="29"/>
      <c r="D269" s="40"/>
      <c r="E269" s="40"/>
      <c r="F269" s="188"/>
      <c r="G269" s="188"/>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DG269" s="66"/>
    </row>
    <row r="270" spans="2:111" ht="23.25" customHeight="1" x14ac:dyDescent="0.2">
      <c r="B270" s="29"/>
      <c r="C270" s="29"/>
      <c r="D270" s="40"/>
      <c r="E270" s="40"/>
      <c r="F270" s="188"/>
      <c r="G270" s="188"/>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DG270" s="66"/>
    </row>
    <row r="271" spans="2:111" ht="23.25" customHeight="1" x14ac:dyDescent="0.2">
      <c r="B271" s="29"/>
      <c r="C271" s="29"/>
      <c r="D271" s="40"/>
      <c r="E271" s="40"/>
      <c r="F271" s="188"/>
      <c r="G271" s="188"/>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DG271" s="66"/>
    </row>
    <row r="272" spans="2:111" ht="23.25" customHeight="1" x14ac:dyDescent="0.2">
      <c r="B272" s="29"/>
      <c r="C272" s="29"/>
      <c r="D272" s="40"/>
      <c r="E272" s="40"/>
      <c r="F272" s="188"/>
      <c r="G272" s="188"/>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DG272" s="66"/>
    </row>
    <row r="273" spans="2:111" ht="23.25" customHeight="1" x14ac:dyDescent="0.2">
      <c r="B273" s="29"/>
      <c r="C273" s="29"/>
      <c r="D273" s="40"/>
      <c r="E273" s="40"/>
      <c r="F273" s="188"/>
      <c r="G273" s="188"/>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DG273" s="66"/>
    </row>
    <row r="274" spans="2:111" ht="23.25" customHeight="1" x14ac:dyDescent="0.2">
      <c r="B274" s="29"/>
      <c r="C274" s="29"/>
      <c r="D274" s="40"/>
      <c r="E274" s="40"/>
      <c r="F274" s="188"/>
      <c r="G274" s="188"/>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DG274" s="66"/>
    </row>
    <row r="275" spans="2:111" ht="23.25" customHeight="1" x14ac:dyDescent="0.2">
      <c r="B275" s="29"/>
      <c r="C275" s="29"/>
      <c r="D275" s="40"/>
      <c r="E275" s="40"/>
      <c r="F275" s="188"/>
      <c r="G275" s="188"/>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DG275" s="66"/>
    </row>
    <row r="276" spans="2:111" ht="23.25" customHeight="1" x14ac:dyDescent="0.2">
      <c r="B276" s="29"/>
      <c r="C276" s="29"/>
      <c r="D276" s="40"/>
      <c r="E276" s="40"/>
      <c r="F276" s="188"/>
      <c r="G276" s="188"/>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DG276" s="66"/>
    </row>
    <row r="277" spans="2:111" ht="23.25" customHeight="1" x14ac:dyDescent="0.2">
      <c r="B277" s="29"/>
      <c r="C277" s="29"/>
      <c r="D277" s="40"/>
      <c r="E277" s="40"/>
      <c r="F277" s="188"/>
      <c r="G277" s="188"/>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DG277" s="66"/>
    </row>
    <row r="278" spans="2:111" ht="23.25" customHeight="1" x14ac:dyDescent="0.2">
      <c r="B278" s="29"/>
      <c r="C278" s="29"/>
      <c r="D278" s="40"/>
      <c r="E278" s="40"/>
      <c r="F278" s="188"/>
      <c r="G278" s="188"/>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DG278" s="66"/>
    </row>
    <row r="279" spans="2:111" ht="23.25" customHeight="1" x14ac:dyDescent="0.2">
      <c r="B279" s="29"/>
      <c r="C279" s="29"/>
      <c r="D279" s="40"/>
      <c r="E279" s="40"/>
      <c r="F279" s="188"/>
      <c r="G279" s="188"/>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DG279" s="66"/>
    </row>
    <row r="280" spans="2:111" ht="23.25" customHeight="1" x14ac:dyDescent="0.2">
      <c r="B280" s="29"/>
      <c r="C280" s="29"/>
      <c r="D280" s="40"/>
      <c r="E280" s="40"/>
      <c r="F280" s="188"/>
      <c r="G280" s="188"/>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DG280" s="66"/>
    </row>
    <row r="281" spans="2:111" ht="23.25" customHeight="1" x14ac:dyDescent="0.2">
      <c r="B281" s="29"/>
      <c r="C281" s="29"/>
      <c r="D281" s="40"/>
      <c r="E281" s="40"/>
      <c r="F281" s="188"/>
      <c r="G281" s="188"/>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DG281" s="66"/>
    </row>
    <row r="282" spans="2:111" ht="23.25" customHeight="1" x14ac:dyDescent="0.2">
      <c r="B282" s="29"/>
      <c r="C282" s="29"/>
      <c r="D282" s="40"/>
      <c r="E282" s="40"/>
      <c r="F282" s="188"/>
      <c r="G282" s="188"/>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DG282" s="66"/>
    </row>
    <row r="283" spans="2:111" ht="23.25" customHeight="1" x14ac:dyDescent="0.2">
      <c r="B283" s="29"/>
      <c r="C283" s="29"/>
      <c r="D283" s="40"/>
      <c r="E283" s="40"/>
      <c r="F283" s="188"/>
      <c r="G283" s="188"/>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DG283" s="66"/>
    </row>
    <row r="284" spans="2:111" ht="23.25" customHeight="1" x14ac:dyDescent="0.2">
      <c r="B284" s="29"/>
      <c r="C284" s="29"/>
      <c r="D284" s="40"/>
      <c r="E284" s="40"/>
      <c r="F284" s="188"/>
      <c r="G284" s="188"/>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DG284" s="66"/>
    </row>
    <row r="285" spans="2:111" ht="23.25" customHeight="1" x14ac:dyDescent="0.2">
      <c r="B285" s="29"/>
      <c r="C285" s="29"/>
      <c r="D285" s="40"/>
      <c r="E285" s="40"/>
      <c r="F285" s="188"/>
      <c r="G285" s="188"/>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DG285" s="66"/>
    </row>
    <row r="286" spans="2:111" ht="23.25" customHeight="1" x14ac:dyDescent="0.2">
      <c r="B286" s="29"/>
      <c r="C286" s="29"/>
      <c r="D286" s="40"/>
      <c r="E286" s="40"/>
      <c r="F286" s="188"/>
      <c r="G286" s="188"/>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DG286" s="66"/>
    </row>
    <row r="287" spans="2:111" ht="23.25" customHeight="1" x14ac:dyDescent="0.2">
      <c r="B287" s="29"/>
      <c r="C287" s="29"/>
      <c r="D287" s="40"/>
      <c r="E287" s="40"/>
      <c r="F287" s="188"/>
      <c r="G287" s="188"/>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DG287" s="66"/>
    </row>
    <row r="288" spans="2:111" ht="23.25" customHeight="1" x14ac:dyDescent="0.2">
      <c r="B288" s="29"/>
      <c r="C288" s="29"/>
      <c r="D288" s="40"/>
      <c r="E288" s="40"/>
      <c r="F288" s="188"/>
      <c r="G288" s="188"/>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DG288" s="66"/>
    </row>
    <row r="289" spans="2:111" ht="23.25" customHeight="1" x14ac:dyDescent="0.2">
      <c r="B289" s="29"/>
      <c r="C289" s="29"/>
      <c r="D289" s="40"/>
      <c r="E289" s="40"/>
      <c r="F289" s="188"/>
      <c r="G289" s="188"/>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DG289" s="66"/>
    </row>
    <row r="290" spans="2:111" ht="23.25" customHeight="1" x14ac:dyDescent="0.2">
      <c r="B290" s="29"/>
      <c r="C290" s="29"/>
      <c r="D290" s="40"/>
      <c r="E290" s="40"/>
      <c r="F290" s="188"/>
      <c r="G290" s="188"/>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DG290" s="66"/>
    </row>
    <row r="291" spans="2:111" ht="23.25" customHeight="1" x14ac:dyDescent="0.2">
      <c r="B291" s="29"/>
      <c r="C291" s="29"/>
      <c r="D291" s="40"/>
      <c r="E291" s="40"/>
      <c r="F291" s="188"/>
      <c r="G291" s="188"/>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DG291" s="66"/>
    </row>
    <row r="292" spans="2:111" ht="23.25" customHeight="1" x14ac:dyDescent="0.2">
      <c r="B292" s="29"/>
      <c r="C292" s="29"/>
      <c r="D292" s="40"/>
      <c r="E292" s="40"/>
      <c r="F292" s="188"/>
      <c r="G292" s="188"/>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DG292" s="66"/>
    </row>
    <row r="293" spans="2:111" ht="23.25" customHeight="1" x14ac:dyDescent="0.2">
      <c r="B293" s="29"/>
      <c r="C293" s="29"/>
      <c r="D293" s="40"/>
      <c r="E293" s="40"/>
      <c r="F293" s="188"/>
      <c r="G293" s="188"/>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DG293" s="66"/>
    </row>
    <row r="294" spans="2:111" ht="23.25" customHeight="1" x14ac:dyDescent="0.2">
      <c r="B294" s="29"/>
      <c r="C294" s="29"/>
      <c r="D294" s="40"/>
      <c r="E294" s="40"/>
      <c r="F294" s="188"/>
      <c r="G294" s="188"/>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DG294" s="66"/>
    </row>
    <row r="295" spans="2:111" ht="23.25" customHeight="1" x14ac:dyDescent="0.2">
      <c r="B295" s="29"/>
      <c r="C295" s="29"/>
      <c r="D295" s="40"/>
      <c r="E295" s="40"/>
      <c r="F295" s="188"/>
      <c r="G295" s="188"/>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DG295" s="66"/>
    </row>
    <row r="296" spans="2:111" ht="23.25" customHeight="1" x14ac:dyDescent="0.2">
      <c r="B296" s="29"/>
      <c r="C296" s="29"/>
      <c r="D296" s="40"/>
      <c r="E296" s="40"/>
      <c r="F296" s="188"/>
      <c r="G296" s="188"/>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DG296" s="66"/>
    </row>
    <row r="297" spans="2:111" ht="23.25" customHeight="1" x14ac:dyDescent="0.2">
      <c r="B297" s="29"/>
      <c r="C297" s="29"/>
      <c r="D297" s="40"/>
      <c r="E297" s="40"/>
      <c r="F297" s="188"/>
      <c r="G297" s="188"/>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DG297" s="66"/>
    </row>
    <row r="298" spans="2:111" ht="23.25" customHeight="1" x14ac:dyDescent="0.2">
      <c r="B298" s="29"/>
      <c r="C298" s="29"/>
      <c r="D298" s="40"/>
      <c r="E298" s="40"/>
      <c r="F298" s="188"/>
      <c r="G298" s="188"/>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DG298" s="66"/>
    </row>
    <row r="299" spans="2:111" ht="23.25" customHeight="1" x14ac:dyDescent="0.2">
      <c r="B299" s="29"/>
      <c r="C299" s="29"/>
      <c r="D299" s="40"/>
      <c r="E299" s="40"/>
      <c r="F299" s="188"/>
      <c r="G299" s="188"/>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DG299" s="66"/>
    </row>
    <row r="300" spans="2:111" ht="23.25" customHeight="1" x14ac:dyDescent="0.2">
      <c r="B300" s="29"/>
      <c r="C300" s="29"/>
      <c r="D300" s="40"/>
      <c r="E300" s="40"/>
      <c r="F300" s="188"/>
      <c r="G300" s="188"/>
      <c r="H300" s="66"/>
      <c r="I300" s="66"/>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DG300" s="66"/>
    </row>
    <row r="301" spans="2:111" ht="23.25" customHeight="1" x14ac:dyDescent="0.2">
      <c r="B301" s="29"/>
      <c r="C301" s="29"/>
      <c r="D301" s="40"/>
      <c r="E301" s="40"/>
      <c r="F301" s="188"/>
      <c r="G301" s="188"/>
      <c r="H301" s="66"/>
      <c r="I301" s="66"/>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DG301" s="66"/>
    </row>
    <row r="302" spans="2:111" ht="23.25" customHeight="1" x14ac:dyDescent="0.2">
      <c r="B302" s="29"/>
      <c r="C302" s="29"/>
      <c r="D302" s="40"/>
      <c r="E302" s="40"/>
      <c r="F302" s="188"/>
      <c r="G302" s="188"/>
      <c r="H302" s="66"/>
      <c r="I302" s="66"/>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DG302" s="66"/>
    </row>
    <row r="303" spans="2:111" ht="23.25" customHeight="1" x14ac:dyDescent="0.2">
      <c r="B303" s="29"/>
      <c r="C303" s="29"/>
      <c r="D303" s="40"/>
      <c r="E303" s="40"/>
      <c r="F303" s="188"/>
      <c r="G303" s="188"/>
      <c r="H303" s="66"/>
      <c r="I303" s="66"/>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DG303" s="66"/>
    </row>
    <row r="304" spans="2:111" ht="23.25" customHeight="1" x14ac:dyDescent="0.2">
      <c r="B304" s="29"/>
      <c r="C304" s="29"/>
      <c r="D304" s="40"/>
      <c r="E304" s="40"/>
      <c r="F304" s="188"/>
      <c r="G304" s="188"/>
      <c r="H304" s="66"/>
      <c r="I304" s="66"/>
      <c r="J304" s="66"/>
      <c r="K304" s="66"/>
      <c r="L304" s="66"/>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DG304" s="66"/>
    </row>
    <row r="305" spans="2:111" ht="23.25" customHeight="1" x14ac:dyDescent="0.2">
      <c r="B305" s="29"/>
      <c r="C305" s="29"/>
      <c r="D305" s="40"/>
      <c r="E305" s="40"/>
      <c r="F305" s="188"/>
      <c r="G305" s="188"/>
      <c r="H305" s="66"/>
      <c r="I305" s="66"/>
      <c r="J305" s="66"/>
      <c r="K305" s="66"/>
      <c r="L305" s="66"/>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DG305" s="66"/>
    </row>
    <row r="306" spans="2:111" ht="23.25" customHeight="1" x14ac:dyDescent="0.2">
      <c r="B306" s="29"/>
      <c r="C306" s="29"/>
      <c r="D306" s="40"/>
      <c r="E306" s="40"/>
      <c r="F306" s="188"/>
      <c r="G306" s="188"/>
      <c r="H306" s="66"/>
      <c r="I306" s="66"/>
      <c r="J306" s="66"/>
      <c r="K306" s="66"/>
      <c r="L306" s="66"/>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DG306" s="66"/>
    </row>
  </sheetData>
  <sheetCalcPr fullCalcOnLoad="1"/>
  <sheetProtection password="CEF3" sheet="1" objects="1" scenarios="1" selectLockedCells="1"/>
  <mergeCells count="835">
    <mergeCell ref="BV78:CA78"/>
    <mergeCell ref="CB78:CG78"/>
    <mergeCell ref="CH78:CM78"/>
    <mergeCell ref="CN78:CS78"/>
    <mergeCell ref="AL78:AQ78"/>
    <mergeCell ref="AR78:AW78"/>
    <mergeCell ref="AX78:BC78"/>
    <mergeCell ref="BD78:BI78"/>
    <mergeCell ref="BJ78:BO78"/>
    <mergeCell ref="BP78:BU78"/>
    <mergeCell ref="BV77:CA77"/>
    <mergeCell ref="CB77:CG77"/>
    <mergeCell ref="CH77:CM77"/>
    <mergeCell ref="CN77:CS77"/>
    <mergeCell ref="F78:G78"/>
    <mergeCell ref="H78:M78"/>
    <mergeCell ref="N78:S78"/>
    <mergeCell ref="T78:Y78"/>
    <mergeCell ref="Z78:AE78"/>
    <mergeCell ref="AF78:AK78"/>
    <mergeCell ref="AL77:AQ77"/>
    <mergeCell ref="AR77:AW77"/>
    <mergeCell ref="AX77:BC77"/>
    <mergeCell ref="BD77:BI77"/>
    <mergeCell ref="BJ77:BO77"/>
    <mergeCell ref="BP77:BU77"/>
    <mergeCell ref="BP76:BU76"/>
    <mergeCell ref="BV76:CA76"/>
    <mergeCell ref="CB76:CG76"/>
    <mergeCell ref="CH76:CM76"/>
    <mergeCell ref="CN76:CS76"/>
    <mergeCell ref="H77:M77"/>
    <mergeCell ref="N77:S77"/>
    <mergeCell ref="T77:Y77"/>
    <mergeCell ref="Z77:AE77"/>
    <mergeCell ref="AF77:AK77"/>
    <mergeCell ref="BD75:BI75"/>
    <mergeCell ref="BJ75:BO75"/>
    <mergeCell ref="BP75:BU75"/>
    <mergeCell ref="BV75:CA75"/>
    <mergeCell ref="AF76:AK76"/>
    <mergeCell ref="AL76:AQ76"/>
    <mergeCell ref="AR76:AW76"/>
    <mergeCell ref="AX76:BC76"/>
    <mergeCell ref="BD76:BI76"/>
    <mergeCell ref="BJ76:BO76"/>
    <mergeCell ref="CH74:CM74"/>
    <mergeCell ref="CN74:CS74"/>
    <mergeCell ref="H75:M75"/>
    <mergeCell ref="N75:S75"/>
    <mergeCell ref="T75:Y75"/>
    <mergeCell ref="Z75:AE75"/>
    <mergeCell ref="AF75:AK75"/>
    <mergeCell ref="AL75:AQ75"/>
    <mergeCell ref="AR75:AW75"/>
    <mergeCell ref="AX75:BC75"/>
    <mergeCell ref="AX74:BC74"/>
    <mergeCell ref="BD74:BI74"/>
    <mergeCell ref="BJ74:BO74"/>
    <mergeCell ref="BP74:BU74"/>
    <mergeCell ref="BV74:CA74"/>
    <mergeCell ref="CB74:CG74"/>
    <mergeCell ref="N74:S74"/>
    <mergeCell ref="T74:Y74"/>
    <mergeCell ref="Z74:AE74"/>
    <mergeCell ref="AF74:AK74"/>
    <mergeCell ref="AL74:AQ74"/>
    <mergeCell ref="AR74:AW74"/>
    <mergeCell ref="AX73:BC73"/>
    <mergeCell ref="BD73:BI73"/>
    <mergeCell ref="BJ73:BO73"/>
    <mergeCell ref="BP73:BU73"/>
    <mergeCell ref="BV73:CA73"/>
    <mergeCell ref="CB73:CG73"/>
    <mergeCell ref="N73:S73"/>
    <mergeCell ref="T73:Y73"/>
    <mergeCell ref="Z73:AE73"/>
    <mergeCell ref="AF73:AK73"/>
    <mergeCell ref="AL73:AQ73"/>
    <mergeCell ref="AR73:AW73"/>
    <mergeCell ref="AX72:BC72"/>
    <mergeCell ref="BD72:BI72"/>
    <mergeCell ref="BJ72:BO72"/>
    <mergeCell ref="BP72:BU72"/>
    <mergeCell ref="BV72:CA72"/>
    <mergeCell ref="CB72:CG72"/>
    <mergeCell ref="N72:S72"/>
    <mergeCell ref="T72:Y72"/>
    <mergeCell ref="Z72:AE72"/>
    <mergeCell ref="AF72:AK72"/>
    <mergeCell ref="AL72:AQ72"/>
    <mergeCell ref="AR72:AW72"/>
    <mergeCell ref="AX71:BC71"/>
    <mergeCell ref="BD71:BI71"/>
    <mergeCell ref="BJ71:BO71"/>
    <mergeCell ref="BP71:BU71"/>
    <mergeCell ref="BV71:CA71"/>
    <mergeCell ref="CB71:CG71"/>
    <mergeCell ref="BJ70:BO70"/>
    <mergeCell ref="BP70:BU70"/>
    <mergeCell ref="BV70:CA70"/>
    <mergeCell ref="CB70:CG70"/>
    <mergeCell ref="CH70:CM70"/>
    <mergeCell ref="CN70:CS70"/>
    <mergeCell ref="BJ69:BO69"/>
    <mergeCell ref="BP69:BU69"/>
    <mergeCell ref="BV69:CA69"/>
    <mergeCell ref="CB69:CG69"/>
    <mergeCell ref="Z70:AE70"/>
    <mergeCell ref="AF70:AK70"/>
    <mergeCell ref="AL70:AQ70"/>
    <mergeCell ref="AR70:AW70"/>
    <mergeCell ref="AX70:BC70"/>
    <mergeCell ref="BD70:BI70"/>
    <mergeCell ref="F74:G74"/>
    <mergeCell ref="F75:G75"/>
    <mergeCell ref="N69:S69"/>
    <mergeCell ref="T69:Y69"/>
    <mergeCell ref="N70:S70"/>
    <mergeCell ref="T70:Y70"/>
    <mergeCell ref="H71:M71"/>
    <mergeCell ref="N71:S71"/>
    <mergeCell ref="T71:Y71"/>
    <mergeCell ref="H72:M72"/>
    <mergeCell ref="AX58:BC58"/>
    <mergeCell ref="BD58:BI58"/>
    <mergeCell ref="C49:C50"/>
    <mergeCell ref="F69:G69"/>
    <mergeCell ref="Z69:AE69"/>
    <mergeCell ref="AF69:AK69"/>
    <mergeCell ref="AL69:AQ69"/>
    <mergeCell ref="AR69:AW69"/>
    <mergeCell ref="AX69:BC69"/>
    <mergeCell ref="BD69:BI69"/>
    <mergeCell ref="AL59:AQ59"/>
    <mergeCell ref="AR59:AW59"/>
    <mergeCell ref="H76:M76"/>
    <mergeCell ref="N76:S76"/>
    <mergeCell ref="T76:Y76"/>
    <mergeCell ref="Z76:AE76"/>
    <mergeCell ref="Z71:AE71"/>
    <mergeCell ref="AF71:AK71"/>
    <mergeCell ref="AL71:AQ71"/>
    <mergeCell ref="AR71:AW71"/>
    <mergeCell ref="AF58:AK58"/>
    <mergeCell ref="AL58:AQ58"/>
    <mergeCell ref="AR58:AW58"/>
    <mergeCell ref="F63:G63"/>
    <mergeCell ref="F61:G61"/>
    <mergeCell ref="F64:G64"/>
    <mergeCell ref="N59:S59"/>
    <mergeCell ref="T59:Y59"/>
    <mergeCell ref="Z59:AE59"/>
    <mergeCell ref="AF59:AK59"/>
    <mergeCell ref="AX57:BC57"/>
    <mergeCell ref="BD57:BI57"/>
    <mergeCell ref="F51:G51"/>
    <mergeCell ref="BV48:CA48"/>
    <mergeCell ref="CB48:CG48"/>
    <mergeCell ref="F65:G65"/>
    <mergeCell ref="F62:G62"/>
    <mergeCell ref="N58:S58"/>
    <mergeCell ref="T58:Y58"/>
    <mergeCell ref="Z58:AE58"/>
    <mergeCell ref="N57:S57"/>
    <mergeCell ref="T57:Y57"/>
    <mergeCell ref="Z57:AE57"/>
    <mergeCell ref="AF57:AK57"/>
    <mergeCell ref="AL57:AQ57"/>
    <mergeCell ref="AR57:AW57"/>
    <mergeCell ref="AX55:BC55"/>
    <mergeCell ref="BD55:BI55"/>
    <mergeCell ref="N56:S56"/>
    <mergeCell ref="T56:Y56"/>
    <mergeCell ref="Z56:AE56"/>
    <mergeCell ref="AF56:AK56"/>
    <mergeCell ref="AL56:AQ56"/>
    <mergeCell ref="AR56:AW56"/>
    <mergeCell ref="AX56:BC56"/>
    <mergeCell ref="BD56:BI56"/>
    <mergeCell ref="N55:S55"/>
    <mergeCell ref="T55:Y55"/>
    <mergeCell ref="Z55:AE55"/>
    <mergeCell ref="AF55:AK55"/>
    <mergeCell ref="AL55:AQ55"/>
    <mergeCell ref="AR55:AW55"/>
    <mergeCell ref="BD53:BI53"/>
    <mergeCell ref="N54:S54"/>
    <mergeCell ref="T54:Y54"/>
    <mergeCell ref="Z54:AE54"/>
    <mergeCell ref="AF54:AK54"/>
    <mergeCell ref="AL54:AQ54"/>
    <mergeCell ref="AR54:AW54"/>
    <mergeCell ref="AX54:BC54"/>
    <mergeCell ref="BD54:BI54"/>
    <mergeCell ref="BD51:BI51"/>
    <mergeCell ref="AX52:BC52"/>
    <mergeCell ref="BD52:BI52"/>
    <mergeCell ref="N53:S53"/>
    <mergeCell ref="T53:Y53"/>
    <mergeCell ref="Z53:AE53"/>
    <mergeCell ref="AF53:AK53"/>
    <mergeCell ref="AL53:AQ53"/>
    <mergeCell ref="AR53:AW53"/>
    <mergeCell ref="AX53:BC53"/>
    <mergeCell ref="T51:Y51"/>
    <mergeCell ref="Z51:AE51"/>
    <mergeCell ref="AF51:AK51"/>
    <mergeCell ref="AL51:AQ51"/>
    <mergeCell ref="AR51:AW51"/>
    <mergeCell ref="AX51:BC51"/>
    <mergeCell ref="BP61:BU61"/>
    <mergeCell ref="BV61:CA61"/>
    <mergeCell ref="CB61:CG61"/>
    <mergeCell ref="N49:S50"/>
    <mergeCell ref="T49:Y50"/>
    <mergeCell ref="Z49:AE50"/>
    <mergeCell ref="AF49:AK50"/>
    <mergeCell ref="AL49:AQ50"/>
    <mergeCell ref="AR49:AW50"/>
    <mergeCell ref="AX49:BC50"/>
    <mergeCell ref="BP65:BU65"/>
    <mergeCell ref="BV65:CA65"/>
    <mergeCell ref="CB65:CG65"/>
    <mergeCell ref="BJ62:BO62"/>
    <mergeCell ref="BP62:BU62"/>
    <mergeCell ref="BV62:CA62"/>
    <mergeCell ref="CB62:CG62"/>
    <mergeCell ref="CB60:CG60"/>
    <mergeCell ref="BJ63:BO63"/>
    <mergeCell ref="BP63:BU63"/>
    <mergeCell ref="BV63:CA63"/>
    <mergeCell ref="CB63:CG63"/>
    <mergeCell ref="BJ64:BO64"/>
    <mergeCell ref="BP64:BU64"/>
    <mergeCell ref="BV64:CA64"/>
    <mergeCell ref="CB64:CG64"/>
    <mergeCell ref="BJ61:BO61"/>
    <mergeCell ref="BV58:CA58"/>
    <mergeCell ref="CB58:CG58"/>
    <mergeCell ref="CB75:CG75"/>
    <mergeCell ref="BJ59:BO59"/>
    <mergeCell ref="BP59:BU59"/>
    <mergeCell ref="BV59:CA59"/>
    <mergeCell ref="CB59:CG59"/>
    <mergeCell ref="BJ60:BO60"/>
    <mergeCell ref="BP60:BU60"/>
    <mergeCell ref="BV60:CA60"/>
    <mergeCell ref="F53:G53"/>
    <mergeCell ref="F54:G54"/>
    <mergeCell ref="F55:G55"/>
    <mergeCell ref="F56:G56"/>
    <mergeCell ref="F52:G52"/>
    <mergeCell ref="BJ57:BO57"/>
    <mergeCell ref="N52:S52"/>
    <mergeCell ref="T52:Y52"/>
    <mergeCell ref="Z52:AE52"/>
    <mergeCell ref="AF52:AK52"/>
    <mergeCell ref="BV56:CA56"/>
    <mergeCell ref="CB56:CG56"/>
    <mergeCell ref="F57:G57"/>
    <mergeCell ref="F58:G58"/>
    <mergeCell ref="F59:G59"/>
    <mergeCell ref="F60:G60"/>
    <mergeCell ref="BP57:BU57"/>
    <mergeCell ref="BV57:CA57"/>
    <mergeCell ref="CB57:CG57"/>
    <mergeCell ref="BJ58:BO58"/>
    <mergeCell ref="BV54:CA54"/>
    <mergeCell ref="CB54:CG54"/>
    <mergeCell ref="BJ55:BO55"/>
    <mergeCell ref="BP55:BU55"/>
    <mergeCell ref="BV55:CA55"/>
    <mergeCell ref="CB55:CG55"/>
    <mergeCell ref="F70:G70"/>
    <mergeCell ref="F71:G71"/>
    <mergeCell ref="F72:G72"/>
    <mergeCell ref="F73:G73"/>
    <mergeCell ref="BJ54:BO54"/>
    <mergeCell ref="BP54:BU54"/>
    <mergeCell ref="BJ56:BO56"/>
    <mergeCell ref="BP56:BU56"/>
    <mergeCell ref="BP58:BU58"/>
    <mergeCell ref="BJ65:BO65"/>
    <mergeCell ref="F81:G81"/>
    <mergeCell ref="F82:G82"/>
    <mergeCell ref="F83:G83"/>
    <mergeCell ref="F84:G84"/>
    <mergeCell ref="F66:G66"/>
    <mergeCell ref="F67:G67"/>
    <mergeCell ref="F79:G79"/>
    <mergeCell ref="F80:G80"/>
    <mergeCell ref="F76:G76"/>
    <mergeCell ref="F77:G77"/>
    <mergeCell ref="F89:G89"/>
    <mergeCell ref="F90:G90"/>
    <mergeCell ref="F91:G91"/>
    <mergeCell ref="F92:G92"/>
    <mergeCell ref="F85:G85"/>
    <mergeCell ref="F86:G86"/>
    <mergeCell ref="F87:G87"/>
    <mergeCell ref="F88:G88"/>
    <mergeCell ref="F97:G97"/>
    <mergeCell ref="F98:G98"/>
    <mergeCell ref="F99:G99"/>
    <mergeCell ref="F100:G100"/>
    <mergeCell ref="F93:G93"/>
    <mergeCell ref="F94:G94"/>
    <mergeCell ref="F95:G95"/>
    <mergeCell ref="F96:G96"/>
    <mergeCell ref="F105:G105"/>
    <mergeCell ref="F106:G106"/>
    <mergeCell ref="F107:G107"/>
    <mergeCell ref="F108:G108"/>
    <mergeCell ref="F101:G101"/>
    <mergeCell ref="F102:G102"/>
    <mergeCell ref="F103:G103"/>
    <mergeCell ref="F104:G104"/>
    <mergeCell ref="F113:G113"/>
    <mergeCell ref="F114:G114"/>
    <mergeCell ref="F115:G115"/>
    <mergeCell ref="F116:G116"/>
    <mergeCell ref="F109:G109"/>
    <mergeCell ref="F110:G110"/>
    <mergeCell ref="F111:G111"/>
    <mergeCell ref="F112:G112"/>
    <mergeCell ref="F121:G121"/>
    <mergeCell ref="F122:G122"/>
    <mergeCell ref="F123:G123"/>
    <mergeCell ref="F124:G124"/>
    <mergeCell ref="F117:G117"/>
    <mergeCell ref="F118:G118"/>
    <mergeCell ref="F119:G119"/>
    <mergeCell ref="F120:G120"/>
    <mergeCell ref="F129:G129"/>
    <mergeCell ref="F130:G130"/>
    <mergeCell ref="F131:G131"/>
    <mergeCell ref="F132:G132"/>
    <mergeCell ref="F125:G125"/>
    <mergeCell ref="F126:G126"/>
    <mergeCell ref="F127:G127"/>
    <mergeCell ref="F128:G128"/>
    <mergeCell ref="F137:G137"/>
    <mergeCell ref="F138:G138"/>
    <mergeCell ref="F139:G139"/>
    <mergeCell ref="F140:G140"/>
    <mergeCell ref="F133:G133"/>
    <mergeCell ref="F134:G134"/>
    <mergeCell ref="F135:G135"/>
    <mergeCell ref="F136:G136"/>
    <mergeCell ref="F145:G145"/>
    <mergeCell ref="F146:G146"/>
    <mergeCell ref="F147:G147"/>
    <mergeCell ref="F148:G148"/>
    <mergeCell ref="F141:G141"/>
    <mergeCell ref="F142:G142"/>
    <mergeCell ref="F143:G143"/>
    <mergeCell ref="F144:G144"/>
    <mergeCell ref="BJ53:BO53"/>
    <mergeCell ref="BP53:BU53"/>
    <mergeCell ref="BV53:CA53"/>
    <mergeCell ref="CB53:CG53"/>
    <mergeCell ref="F153:G153"/>
    <mergeCell ref="F154:G154"/>
    <mergeCell ref="F149:G149"/>
    <mergeCell ref="F150:G150"/>
    <mergeCell ref="F151:G151"/>
    <mergeCell ref="F152:G152"/>
    <mergeCell ref="BJ51:BO51"/>
    <mergeCell ref="BP51:BU51"/>
    <mergeCell ref="BV51:CA51"/>
    <mergeCell ref="CB51:CG51"/>
    <mergeCell ref="BJ52:BO52"/>
    <mergeCell ref="BP52:BU52"/>
    <mergeCell ref="BV52:CA52"/>
    <mergeCell ref="CB52:CG52"/>
    <mergeCell ref="CH59:CM59"/>
    <mergeCell ref="CN59:CS59"/>
    <mergeCell ref="CH60:CM60"/>
    <mergeCell ref="CN60:CS60"/>
    <mergeCell ref="CH65:CM65"/>
    <mergeCell ref="CN65:CS65"/>
    <mergeCell ref="CH62:CM62"/>
    <mergeCell ref="CN62:CS62"/>
    <mergeCell ref="CH61:CM61"/>
    <mergeCell ref="CN61:CS61"/>
    <mergeCell ref="CH63:CM63"/>
    <mergeCell ref="CN63:CS63"/>
    <mergeCell ref="CH64:CM64"/>
    <mergeCell ref="CN64:CS64"/>
    <mergeCell ref="CH75:CM75"/>
    <mergeCell ref="CN75:CS75"/>
    <mergeCell ref="CH71:CM71"/>
    <mergeCell ref="CN71:CS71"/>
    <mergeCell ref="CH72:CM72"/>
    <mergeCell ref="CN72:CS72"/>
    <mergeCell ref="CH55:CM55"/>
    <mergeCell ref="CN55:CS55"/>
    <mergeCell ref="CH56:CM56"/>
    <mergeCell ref="CN56:CS56"/>
    <mergeCell ref="CH73:CM73"/>
    <mergeCell ref="CN73:CS73"/>
    <mergeCell ref="CH57:CM57"/>
    <mergeCell ref="CN57:CS57"/>
    <mergeCell ref="CH58:CM58"/>
    <mergeCell ref="CN58:CS58"/>
    <mergeCell ref="CH51:CM51"/>
    <mergeCell ref="CN51:CS51"/>
    <mergeCell ref="CH52:CM52"/>
    <mergeCell ref="CN52:CS52"/>
    <mergeCell ref="CH69:CM69"/>
    <mergeCell ref="CN69:CS69"/>
    <mergeCell ref="CH53:CM53"/>
    <mergeCell ref="CN53:CS53"/>
    <mergeCell ref="CH54:CM54"/>
    <mergeCell ref="CN54:CS54"/>
    <mergeCell ref="BJ48:BO48"/>
    <mergeCell ref="BP48:BU48"/>
    <mergeCell ref="CH49:CM50"/>
    <mergeCell ref="CN49:CS50"/>
    <mergeCell ref="CH48:CM48"/>
    <mergeCell ref="CN48:CS48"/>
    <mergeCell ref="BJ49:BO50"/>
    <mergeCell ref="BP49:BU50"/>
    <mergeCell ref="BV49:CA50"/>
    <mergeCell ref="CB49:CG50"/>
    <mergeCell ref="H69:M69"/>
    <mergeCell ref="H70:M70"/>
    <mergeCell ref="H73:M73"/>
    <mergeCell ref="H74:M74"/>
    <mergeCell ref="AX48:BC48"/>
    <mergeCell ref="BD48:BI48"/>
    <mergeCell ref="AL52:AQ52"/>
    <mergeCell ref="AR52:AW52"/>
    <mergeCell ref="BD49:BI50"/>
    <mergeCell ref="N51:S51"/>
    <mergeCell ref="H65:M65"/>
    <mergeCell ref="H62:M62"/>
    <mergeCell ref="H61:M61"/>
    <mergeCell ref="H48:M48"/>
    <mergeCell ref="H59:M59"/>
    <mergeCell ref="H60:M60"/>
    <mergeCell ref="H63:M63"/>
    <mergeCell ref="H64:M64"/>
    <mergeCell ref="H55:M55"/>
    <mergeCell ref="H56:M56"/>
    <mergeCell ref="H57:M57"/>
    <mergeCell ref="H58:M58"/>
    <mergeCell ref="H51:M51"/>
    <mergeCell ref="H52:M52"/>
    <mergeCell ref="H53:M53"/>
    <mergeCell ref="H54:M54"/>
    <mergeCell ref="AL48:AQ48"/>
    <mergeCell ref="AR48:AW48"/>
    <mergeCell ref="B49:B50"/>
    <mergeCell ref="F48:G48"/>
    <mergeCell ref="H49:M50"/>
    <mergeCell ref="E49:E50"/>
    <mergeCell ref="BP47:BU47"/>
    <mergeCell ref="BV47:CA47"/>
    <mergeCell ref="CB47:CG47"/>
    <mergeCell ref="CH47:CM47"/>
    <mergeCell ref="CN47:CS47"/>
    <mergeCell ref="D49:D50"/>
    <mergeCell ref="N48:S48"/>
    <mergeCell ref="T48:Y48"/>
    <mergeCell ref="Z48:AE48"/>
    <mergeCell ref="AF48:AK48"/>
    <mergeCell ref="AF47:AK47"/>
    <mergeCell ref="AL47:AQ47"/>
    <mergeCell ref="AR47:AW47"/>
    <mergeCell ref="AX47:BC47"/>
    <mergeCell ref="BD47:BI47"/>
    <mergeCell ref="BJ47:BO47"/>
    <mergeCell ref="BN43:BQ44"/>
    <mergeCell ref="BT43:BW44"/>
    <mergeCell ref="BZ43:CC44"/>
    <mergeCell ref="CF43:CI44"/>
    <mergeCell ref="CL43:CO44"/>
    <mergeCell ref="F47:G47"/>
    <mergeCell ref="H47:M47"/>
    <mergeCell ref="N47:S47"/>
    <mergeCell ref="T47:Y47"/>
    <mergeCell ref="Z47:AE47"/>
    <mergeCell ref="CI40:CL41"/>
    <mergeCell ref="L43:O44"/>
    <mergeCell ref="R43:U44"/>
    <mergeCell ref="X43:AA44"/>
    <mergeCell ref="AD43:AG44"/>
    <mergeCell ref="AJ43:AM44"/>
    <mergeCell ref="AP43:AS44"/>
    <mergeCell ref="AV43:AY44"/>
    <mergeCell ref="BB43:BE44"/>
    <mergeCell ref="BH43:BK44"/>
    <mergeCell ref="AY40:BB41"/>
    <mergeCell ref="BE40:BH41"/>
    <mergeCell ref="BK40:BN41"/>
    <mergeCell ref="BQ40:BT41"/>
    <mergeCell ref="BW40:BZ41"/>
    <mergeCell ref="CC40:CF41"/>
    <mergeCell ref="O40:R41"/>
    <mergeCell ref="U40:X41"/>
    <mergeCell ref="AA40:AD41"/>
    <mergeCell ref="AG40:AJ41"/>
    <mergeCell ref="AM40:AP41"/>
    <mergeCell ref="AS40:AV41"/>
    <mergeCell ref="BB37:BE38"/>
    <mergeCell ref="BH37:BK38"/>
    <mergeCell ref="BN37:BQ38"/>
    <mergeCell ref="BT37:BW38"/>
    <mergeCell ref="BZ37:CC38"/>
    <mergeCell ref="CF37:CI38"/>
    <mergeCell ref="BK34:BN35"/>
    <mergeCell ref="BQ34:BT35"/>
    <mergeCell ref="BW34:BZ35"/>
    <mergeCell ref="CC34:CF35"/>
    <mergeCell ref="R37:U38"/>
    <mergeCell ref="X37:AA38"/>
    <mergeCell ref="AD37:AG38"/>
    <mergeCell ref="AJ37:AM38"/>
    <mergeCell ref="AP37:AS38"/>
    <mergeCell ref="AV37:AY38"/>
    <mergeCell ref="BN31:BQ32"/>
    <mergeCell ref="BT31:BW32"/>
    <mergeCell ref="BZ31:CC32"/>
    <mergeCell ref="U34:X35"/>
    <mergeCell ref="AA34:AD35"/>
    <mergeCell ref="AG34:AJ35"/>
    <mergeCell ref="AM34:AP35"/>
    <mergeCell ref="AS34:AV35"/>
    <mergeCell ref="AY34:BB35"/>
    <mergeCell ref="BE34:BH35"/>
    <mergeCell ref="BK28:BN29"/>
    <mergeCell ref="BQ28:BT29"/>
    <mergeCell ref="BW28:BZ29"/>
    <mergeCell ref="X31:AA32"/>
    <mergeCell ref="AD31:AG32"/>
    <mergeCell ref="AJ31:AM32"/>
    <mergeCell ref="AP31:AS32"/>
    <mergeCell ref="AV31:AY32"/>
    <mergeCell ref="BB31:BE32"/>
    <mergeCell ref="BH31:BK32"/>
    <mergeCell ref="AA28:AD29"/>
    <mergeCell ref="AG28:AJ29"/>
    <mergeCell ref="AM28:AP29"/>
    <mergeCell ref="AS28:AV29"/>
    <mergeCell ref="AY28:BB29"/>
    <mergeCell ref="BE28:BH29"/>
    <mergeCell ref="BK22:BN23"/>
    <mergeCell ref="BQ22:BT23"/>
    <mergeCell ref="AD25:AG26"/>
    <mergeCell ref="AJ25:AM26"/>
    <mergeCell ref="AP25:AS26"/>
    <mergeCell ref="AV25:AY26"/>
    <mergeCell ref="BB25:BE26"/>
    <mergeCell ref="BH25:BK26"/>
    <mergeCell ref="BN25:BQ26"/>
    <mergeCell ref="BT25:BW26"/>
    <mergeCell ref="BE16:BH17"/>
    <mergeCell ref="AG22:AJ23"/>
    <mergeCell ref="AM22:AP23"/>
    <mergeCell ref="AS22:AV23"/>
    <mergeCell ref="AY22:BB23"/>
    <mergeCell ref="BE22:BH23"/>
    <mergeCell ref="BH13:BK14"/>
    <mergeCell ref="BH19:BK20"/>
    <mergeCell ref="BN19:BQ20"/>
    <mergeCell ref="AM16:AP17"/>
    <mergeCell ref="AS16:AV17"/>
    <mergeCell ref="AY16:BB17"/>
    <mergeCell ref="AJ19:AM20"/>
    <mergeCell ref="AP19:AS20"/>
    <mergeCell ref="AV19:AY20"/>
    <mergeCell ref="BB19:BE20"/>
    <mergeCell ref="BK16:BN17"/>
    <mergeCell ref="AY4:BB5"/>
    <mergeCell ref="AV7:AY8"/>
    <mergeCell ref="BB7:BE8"/>
    <mergeCell ref="AS10:AV11"/>
    <mergeCell ref="AY10:BB11"/>
    <mergeCell ref="BE10:BH11"/>
    <mergeCell ref="AP13:AS14"/>
    <mergeCell ref="AV13:AY14"/>
    <mergeCell ref="BB13:BE14"/>
    <mergeCell ref="F159:G159"/>
    <mergeCell ref="F160:G160"/>
    <mergeCell ref="F161:G161"/>
    <mergeCell ref="F162:G162"/>
    <mergeCell ref="F155:G155"/>
    <mergeCell ref="F156:G156"/>
    <mergeCell ref="F157:G157"/>
    <mergeCell ref="F158:G158"/>
    <mergeCell ref="F167:G167"/>
    <mergeCell ref="F168:G168"/>
    <mergeCell ref="F169:G169"/>
    <mergeCell ref="F170:G170"/>
    <mergeCell ref="F163:G163"/>
    <mergeCell ref="F164:G164"/>
    <mergeCell ref="F165:G165"/>
    <mergeCell ref="F166:G166"/>
    <mergeCell ref="F175:G175"/>
    <mergeCell ref="F176:G176"/>
    <mergeCell ref="F177:G177"/>
    <mergeCell ref="F178:G178"/>
    <mergeCell ref="F171:G171"/>
    <mergeCell ref="F172:G172"/>
    <mergeCell ref="F173:G173"/>
    <mergeCell ref="F174:G174"/>
    <mergeCell ref="F183:G183"/>
    <mergeCell ref="F184:G184"/>
    <mergeCell ref="F185:G185"/>
    <mergeCell ref="F186:G186"/>
    <mergeCell ref="F179:G179"/>
    <mergeCell ref="F180:G180"/>
    <mergeCell ref="F181:G181"/>
    <mergeCell ref="F182:G182"/>
    <mergeCell ref="F191:G191"/>
    <mergeCell ref="F192:G192"/>
    <mergeCell ref="F193:G193"/>
    <mergeCell ref="F194:G194"/>
    <mergeCell ref="F187:G187"/>
    <mergeCell ref="F188:G188"/>
    <mergeCell ref="F189:G189"/>
    <mergeCell ref="F190:G190"/>
    <mergeCell ref="F199:G199"/>
    <mergeCell ref="F200:G200"/>
    <mergeCell ref="F201:G201"/>
    <mergeCell ref="F202:G202"/>
    <mergeCell ref="F195:G195"/>
    <mergeCell ref="F196:G196"/>
    <mergeCell ref="F197:G197"/>
    <mergeCell ref="F198:G198"/>
    <mergeCell ref="F207:G207"/>
    <mergeCell ref="F208:G208"/>
    <mergeCell ref="F209:G209"/>
    <mergeCell ref="F210:G210"/>
    <mergeCell ref="F203:G203"/>
    <mergeCell ref="F204:G204"/>
    <mergeCell ref="F205:G205"/>
    <mergeCell ref="F206:G206"/>
    <mergeCell ref="F215:G215"/>
    <mergeCell ref="F216:G216"/>
    <mergeCell ref="F217:G217"/>
    <mergeCell ref="F218:G218"/>
    <mergeCell ref="F211:G211"/>
    <mergeCell ref="F212:G212"/>
    <mergeCell ref="F213:G213"/>
    <mergeCell ref="F214:G214"/>
    <mergeCell ref="F223:G223"/>
    <mergeCell ref="F224:G224"/>
    <mergeCell ref="F225:G225"/>
    <mergeCell ref="F226:G226"/>
    <mergeCell ref="F219:G219"/>
    <mergeCell ref="F220:G220"/>
    <mergeCell ref="F221:G221"/>
    <mergeCell ref="F222:G222"/>
    <mergeCell ref="F231:G231"/>
    <mergeCell ref="F232:G232"/>
    <mergeCell ref="F233:G233"/>
    <mergeCell ref="F234:G234"/>
    <mergeCell ref="F227:G227"/>
    <mergeCell ref="F228:G228"/>
    <mergeCell ref="F229:G229"/>
    <mergeCell ref="F230:G230"/>
    <mergeCell ref="F239:G239"/>
    <mergeCell ref="F240:G240"/>
    <mergeCell ref="F241:G241"/>
    <mergeCell ref="F242:G242"/>
    <mergeCell ref="F235:G235"/>
    <mergeCell ref="F236:G236"/>
    <mergeCell ref="F237:G237"/>
    <mergeCell ref="F238:G238"/>
    <mergeCell ref="F247:G247"/>
    <mergeCell ref="F248:G248"/>
    <mergeCell ref="F249:G249"/>
    <mergeCell ref="F250:G250"/>
    <mergeCell ref="F243:G243"/>
    <mergeCell ref="F244:G244"/>
    <mergeCell ref="F245:G245"/>
    <mergeCell ref="F246:G246"/>
    <mergeCell ref="F255:G255"/>
    <mergeCell ref="F256:G256"/>
    <mergeCell ref="F257:G257"/>
    <mergeCell ref="F258:G258"/>
    <mergeCell ref="F251:G251"/>
    <mergeCell ref="F252:G252"/>
    <mergeCell ref="F253:G253"/>
    <mergeCell ref="F254:G254"/>
    <mergeCell ref="F263:G263"/>
    <mergeCell ref="F264:G264"/>
    <mergeCell ref="F265:G265"/>
    <mergeCell ref="F266:G266"/>
    <mergeCell ref="F259:G259"/>
    <mergeCell ref="F260:G260"/>
    <mergeCell ref="F261:G261"/>
    <mergeCell ref="F262:G262"/>
    <mergeCell ref="F271:G271"/>
    <mergeCell ref="F272:G272"/>
    <mergeCell ref="F273:G273"/>
    <mergeCell ref="F274:G274"/>
    <mergeCell ref="F267:G267"/>
    <mergeCell ref="F268:G268"/>
    <mergeCell ref="F269:G269"/>
    <mergeCell ref="F270:G270"/>
    <mergeCell ref="F279:G279"/>
    <mergeCell ref="F280:G280"/>
    <mergeCell ref="F281:G281"/>
    <mergeCell ref="F282:G282"/>
    <mergeCell ref="F275:G275"/>
    <mergeCell ref="F276:G276"/>
    <mergeCell ref="F277:G277"/>
    <mergeCell ref="F278:G278"/>
    <mergeCell ref="F287:G287"/>
    <mergeCell ref="F288:G288"/>
    <mergeCell ref="F289:G289"/>
    <mergeCell ref="F290:G290"/>
    <mergeCell ref="F283:G283"/>
    <mergeCell ref="F284:G284"/>
    <mergeCell ref="F285:G285"/>
    <mergeCell ref="F286:G286"/>
    <mergeCell ref="F306:G306"/>
    <mergeCell ref="F299:G299"/>
    <mergeCell ref="F300:G300"/>
    <mergeCell ref="F301:G301"/>
    <mergeCell ref="F302:G302"/>
    <mergeCell ref="F295:G295"/>
    <mergeCell ref="F296:G296"/>
    <mergeCell ref="F297:G297"/>
    <mergeCell ref="F298:G298"/>
    <mergeCell ref="AR60:AW60"/>
    <mergeCell ref="AX60:BC60"/>
    <mergeCell ref="BD60:BI60"/>
    <mergeCell ref="F303:G303"/>
    <mergeCell ref="F304:G304"/>
    <mergeCell ref="F305:G305"/>
    <mergeCell ref="F291:G291"/>
    <mergeCell ref="F292:G292"/>
    <mergeCell ref="F293:G293"/>
    <mergeCell ref="F294:G294"/>
    <mergeCell ref="T63:Y63"/>
    <mergeCell ref="Z63:AE63"/>
    <mergeCell ref="AF63:AK63"/>
    <mergeCell ref="AX59:BC59"/>
    <mergeCell ref="BD59:BI59"/>
    <mergeCell ref="N60:S60"/>
    <mergeCell ref="T60:Y60"/>
    <mergeCell ref="Z60:AE60"/>
    <mergeCell ref="AF60:AK60"/>
    <mergeCell ref="AL60:AQ60"/>
    <mergeCell ref="BD64:BI64"/>
    <mergeCell ref="N64:S64"/>
    <mergeCell ref="T64:Y64"/>
    <mergeCell ref="Z64:AE64"/>
    <mergeCell ref="AF64:AK64"/>
    <mergeCell ref="AL63:AQ63"/>
    <mergeCell ref="AR63:AW63"/>
    <mergeCell ref="AX63:BC63"/>
    <mergeCell ref="BD63:BI63"/>
    <mergeCell ref="N63:S63"/>
    <mergeCell ref="T65:Y65"/>
    <mergeCell ref="Z65:AE65"/>
    <mergeCell ref="AF65:AK65"/>
    <mergeCell ref="AL64:AQ64"/>
    <mergeCell ref="AR64:AW64"/>
    <mergeCell ref="AX64:BC64"/>
    <mergeCell ref="BD62:BI62"/>
    <mergeCell ref="N62:S62"/>
    <mergeCell ref="T62:Y62"/>
    <mergeCell ref="Z62:AE62"/>
    <mergeCell ref="AF62:AK62"/>
    <mergeCell ref="AL65:AQ65"/>
    <mergeCell ref="AR65:AW65"/>
    <mergeCell ref="AX65:BC65"/>
    <mergeCell ref="BD65:BI65"/>
    <mergeCell ref="N65:S65"/>
    <mergeCell ref="T61:Y61"/>
    <mergeCell ref="Z61:AE61"/>
    <mergeCell ref="AF61:AK61"/>
    <mergeCell ref="AL62:AQ62"/>
    <mergeCell ref="AR62:AW62"/>
    <mergeCell ref="AX62:BC62"/>
    <mergeCell ref="DE8:DE9"/>
    <mergeCell ref="CZ8:DD9"/>
    <mergeCell ref="CT48:DE48"/>
    <mergeCell ref="CY11:CY12"/>
    <mergeCell ref="DE11:DE12"/>
    <mergeCell ref="CY14:CY15"/>
    <mergeCell ref="CZ11:DD12"/>
    <mergeCell ref="CZ14:DD15"/>
    <mergeCell ref="CY23:CY24"/>
    <mergeCell ref="CZ32:DD33"/>
    <mergeCell ref="CZ29:DD30"/>
    <mergeCell ref="CZ17:DD18"/>
    <mergeCell ref="CY17:CY18"/>
    <mergeCell ref="CZ20:DD21"/>
    <mergeCell ref="CY20:CY21"/>
    <mergeCell ref="CZ23:DD24"/>
    <mergeCell ref="CY26:CY27"/>
    <mergeCell ref="CZ26:DD27"/>
    <mergeCell ref="CY8:CY9"/>
    <mergeCell ref="AR61:AW61"/>
    <mergeCell ref="DG49:DG50"/>
    <mergeCell ref="D68:CS68"/>
    <mergeCell ref="CU65:DE65"/>
    <mergeCell ref="CT49:CT50"/>
    <mergeCell ref="CU49:CU50"/>
    <mergeCell ref="CV49:CV50"/>
    <mergeCell ref="CW49:CW50"/>
    <mergeCell ref="CX49:CX50"/>
    <mergeCell ref="CY49:CY50"/>
    <mergeCell ref="AL61:AQ61"/>
    <mergeCell ref="D26:G27"/>
    <mergeCell ref="D29:G30"/>
    <mergeCell ref="D32:G33"/>
    <mergeCell ref="CY32:CY33"/>
    <mergeCell ref="AX61:BC61"/>
    <mergeCell ref="BD61:BI61"/>
    <mergeCell ref="CY29:CY30"/>
    <mergeCell ref="N61:S61"/>
    <mergeCell ref="B2:C3"/>
    <mergeCell ref="B5:C6"/>
    <mergeCell ref="B8:C9"/>
    <mergeCell ref="B11:C12"/>
    <mergeCell ref="D5:G6"/>
    <mergeCell ref="D8:G9"/>
    <mergeCell ref="D11:G12"/>
    <mergeCell ref="D23:G24"/>
    <mergeCell ref="CY2:DE3"/>
    <mergeCell ref="CY5:CY6"/>
    <mergeCell ref="CZ5:DD6"/>
    <mergeCell ref="DE5:DE6"/>
    <mergeCell ref="D14:G15"/>
    <mergeCell ref="D17:G18"/>
    <mergeCell ref="D20:G21"/>
    <mergeCell ref="D2:G3"/>
  </mergeCells>
  <phoneticPr fontId="1" type="noConversion"/>
  <conditionalFormatting sqref="C52:C60">
    <cfRule type="expression" dxfId="45" priority="1" stopIfTrue="1">
      <formula>AND(NOT(ISBLANK($F52)), $C52&lt;=0)</formula>
    </cfRule>
    <cfRule type="expression" dxfId="44" priority="2" stopIfTrue="1">
      <formula>$C52=1</formula>
    </cfRule>
  </conditionalFormatting>
  <conditionalFormatting sqref="C51">
    <cfRule type="expression" dxfId="43" priority="3" stopIfTrue="1">
      <formula>AND(NOT(ISBLANK($F51)), $C51&lt;=0)</formula>
    </cfRule>
    <cfRule type="cellIs" dxfId="42" priority="4" stopIfTrue="1" operator="equal">
      <formula>1</formula>
    </cfRule>
  </conditionalFormatting>
  <conditionalFormatting sqref="DG66:DG68 DG79:DG306 H79:CS306 H66:CS67">
    <cfRule type="expression" dxfId="41" priority="5" stopIfTrue="1">
      <formula>AND(ISNUMBER(#REF!), ISNUMBER(#REF!))</formula>
    </cfRule>
  </conditionalFormatting>
  <conditionalFormatting sqref="H63 N63 T63 Z63 AF63 AL63 AR63 AX63 BD63 BJ63 BP63 BV63 CB63 CH63 CN63">
    <cfRule type="expression" dxfId="40" priority="6" stopIfTrue="1">
      <formula>AND(NOT(ISBLANK(H$49)), H$63 &lt;=0)</formula>
    </cfRule>
    <cfRule type="cellIs" dxfId="39" priority="7" stopIfTrue="1" operator="equal">
      <formula>1</formula>
    </cfRule>
  </conditionalFormatting>
  <conditionalFormatting sqref="DG64 H64:CS64">
    <cfRule type="expression" dxfId="38" priority="8" stopIfTrue="1">
      <formula>ISNUMBER(#REF!)</formula>
    </cfRule>
  </conditionalFormatting>
  <conditionalFormatting sqref="BP61:BP62 BV61:BV62 CB61:CB62 BJ61:BJ62 AR61:AR62 AX61:AX62 BD61:BD62 AL61:AL62 T61:T62 Z61:Z62 AF61:AF62 H61:N62 CN61:CN62 CH61:CH62">
    <cfRule type="expression" dxfId="37" priority="9" stopIfTrue="1">
      <formula>ISNUMBER(#REF!)</formula>
    </cfRule>
  </conditionalFormatting>
  <conditionalFormatting sqref="F79:G306 F66:G67">
    <cfRule type="expression" dxfId="36" priority="10" stopIfTrue="1">
      <formula>ISNUMBER(#REF!)</formula>
    </cfRule>
  </conditionalFormatting>
  <conditionalFormatting sqref="B79:E306 B66:D68 E66:E67">
    <cfRule type="expression" dxfId="35" priority="11" stopIfTrue="1">
      <formula>ISNUMBER(#REF!)</formula>
    </cfRule>
    <cfRule type="expression" dxfId="34" priority="12" stopIfTrue="1">
      <formula>NOT(ISNUMBER(#REF!))</formula>
    </cfRule>
  </conditionalFormatting>
  <conditionalFormatting sqref="H65:CS65">
    <cfRule type="expression" dxfId="33" priority="13" stopIfTrue="1">
      <formula>ISNUMBER(#REF!)</formula>
    </cfRule>
  </conditionalFormatting>
  <dataValidations count="6">
    <dataValidation type="whole" allowBlank="1" showInputMessage="1" showErrorMessage="1" errorTitle="Invalid Value" error="Please enter a whole number between 0 and 5.  (0=Worst, 5=Best)" sqref="CT69:CY77 CT51:CY60" xr:uid="{B6611601-7330-4CE7-BD48-7821AAD077B1}">
      <formula1>0</formula1>
      <formula2>5</formula2>
    </dataValidation>
    <dataValidation type="whole" allowBlank="1" showErrorMessage="1" errorTitle="Invalid Value" error="Please enter a whole number between 0 and 10.  (0=Easy to Accomplish, 10=Extremely Difficult)" sqref="Z62 T62 AL62 AF62 BD62 AX62 AR62 BJ62 H62:N62 BV62 BP62 CH62 CB62 CN62" xr:uid="{EBDE45E3-948A-48BA-B964-F0C732BA2B58}">
      <formula1>0</formula1>
      <formula2>10</formula2>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Z54:AE54 CH51:CH60 N52:S52 AF51:AF60 BD51:BD60 AX51:AX60 AR51:AR60 AL51:AL60 BJ51:BJ60 T53:Y53 BV51:BV60 BP51:BP60 CB51:CB60 CN51:CN60 N51 T51:T52 T54:T60 Z51:Z53 Z55:Z60 H51:H60 N53:N60" xr:uid="{A21CB71C-BA96-4880-88EE-CA94F793EE05}">
      <formula1>Relationship_Between_Requirements_Options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N48 Z48 T48 AL48 AF48 BD48 AX48 AR48 BJ48 CH48 BV48 BP48 H48:N48 CB48" xr:uid="{96A2EDDB-D506-4868-8536-138914E20EE9}">
      <formula1>Min_Max_or_Target_Options</formula1>
    </dataValidation>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L43:O44 R43:U44 X43:AA44 AD43:AG44 AJ43:AM44 AP43:AS44 AV43:AY44 BB43:BE44 BH43:BK44 BN43:BQ44 BT43:BW44 BZ43:CC44 CF43:CI44 CL43:CO44 CI40:CL41 CC40:CF41 BW40:BZ41 BQ40:BT41 BK40:BN41 BE40:BH41 AY40:BB41 AS40:AV41 AM40:AP41 AG40:AJ41 AA40:AD41 U40:X41 O40:R41 R37:U38 X37:AA38 AD37:AG38 AJ37:AM38 AP37:AS38 AV37:AY38 BB37:BE38 BH37:BK38 BN37:BQ38 BT37:BW38 BZ37:CC38 CF37:CI38 CC34:CF35 BW34:BZ35 BQ34:BT35 BK34:BN35 BE34:BH35 AY34:BB35 AS34:AV35 AM34:AP35 AG34:AJ35 AA34:AD35 U34:X35 X31:AA32 AD31:AG32 AJ31:AM32 AP31:AS32 AV31:AY32 BB31:BE32 BH31:BK32 BN31:BQ32 BT31:BW32 BZ31:CC32 BW28:BZ29 BQ28:BT29 BK28:BN29 BE28:BH29 AY28:BB29 AS28:AV29 AM28:AP29 AG28:AJ29 AA28:AD29 AD25:AG26 AJ25:AM26 AP25:AS26 AV25:AY26 BB25:BE26 BH25:BK26 BN25:BQ26 BT25:BW26 BQ22:BT23 BK22:BN23 BE22:BH23 AY22:BB23 AS22:AV23 AM22:AP23 AG22:AJ23 AJ19:AM20 AP19:AS20 AV19:AY20 BB19:BE20 BH19:BK20 BN19:BQ20 BK16:BN17 BE16:BH17 AY16:BB17 AS16:AV17 AM16:AP17 AP13:AS14 AV13:AY14 BB13:BE14 BH13:BK14 BE10:BH11 AY10:BB11 AS10:AV11 AV7:AY8 BB7:BE8 AY4:BB5" xr:uid="{5122D6CB-F36F-4382-8097-8E108AE5252D}">
      <formula1>Correlation_Options</formula1>
    </dataValidation>
    <dataValidation type="decimal" operator="greaterThanOrEqual" allowBlank="1" showErrorMessage="1" errorTitle="Invalid Value" error="Please enter a non-negative numeric value." sqref="E51:E60" xr:uid="{12525EAB-D1BA-4FC6-A108-9531BE07CB7B}">
      <formula1>0</formula1>
    </dataValidation>
  </dataValidations>
  <printOptions horizontalCentered="1" verticalCentered="1"/>
  <pageMargins left="0.25" right="0.25" top="0.25" bottom="0.25" header="0.25" footer="0.25"/>
  <pageSetup scale="67"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D8BBE-6F35-472D-B6CF-EFE6A7331077}">
  <dimension ref="A1:I6"/>
  <sheetViews>
    <sheetView workbookViewId="0">
      <selection activeCell="A4" sqref="A4"/>
    </sheetView>
  </sheetViews>
  <sheetFormatPr baseColWidth="10" defaultColWidth="9.1796875" defaultRowHeight="12.5" x14ac:dyDescent="0.25"/>
  <cols>
    <col min="1" max="1" width="16.26953125" style="28" customWidth="1"/>
    <col min="2" max="2" width="14.7265625" style="28" customWidth="1"/>
    <col min="3" max="3" width="19.1796875" style="27" customWidth="1"/>
    <col min="4" max="16384" width="9.1796875" style="27"/>
  </cols>
  <sheetData>
    <row r="1" spans="1:9" s="25" customFormat="1" ht="54" customHeight="1" x14ac:dyDescent="0.25">
      <c r="A1" s="1" t="s">
        <v>6</v>
      </c>
      <c r="B1" s="2" t="s">
        <v>7</v>
      </c>
      <c r="C1" s="1" t="s">
        <v>8</v>
      </c>
      <c r="D1" s="24"/>
      <c r="E1" s="6"/>
      <c r="F1" s="6"/>
      <c r="G1" s="6"/>
      <c r="H1" s="6"/>
      <c r="I1" s="6"/>
    </row>
    <row r="2" spans="1:9" ht="18.5" x14ac:dyDescent="0.45">
      <c r="A2" s="26" t="s">
        <v>4</v>
      </c>
      <c r="B2" s="35" t="s">
        <v>33</v>
      </c>
      <c r="C2" s="36" t="s">
        <v>34</v>
      </c>
      <c r="D2" s="33"/>
      <c r="E2" s="32"/>
    </row>
    <row r="3" spans="1:9" ht="22" x14ac:dyDescent="0.65">
      <c r="A3" s="26" t="s">
        <v>0</v>
      </c>
      <c r="B3" s="35" t="s">
        <v>32</v>
      </c>
      <c r="C3" s="36" t="s">
        <v>31</v>
      </c>
      <c r="D3" s="34"/>
      <c r="E3" s="32"/>
    </row>
    <row r="4" spans="1:9" ht="22" x14ac:dyDescent="0.65">
      <c r="A4" s="26" t="s">
        <v>5</v>
      </c>
      <c r="B4" s="35" t="s">
        <v>0</v>
      </c>
      <c r="C4" s="36" t="s">
        <v>30</v>
      </c>
      <c r="D4" s="34"/>
      <c r="E4" s="32"/>
    </row>
    <row r="5" spans="1:9" ht="13" x14ac:dyDescent="0.3">
      <c r="A5" s="26"/>
      <c r="B5" s="26"/>
      <c r="C5" s="38" t="s">
        <v>4</v>
      </c>
    </row>
    <row r="6" spans="1:9" x14ac:dyDescent="0.25">
      <c r="C6" s="37"/>
    </row>
  </sheetData>
  <sheetProtection password="CEF3" sheet="1" objects="1" scenarios="1" selectLockedCells="1"/>
  <phoneticPr fontId="1"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24765-2D26-4EE4-A246-944DB6575EC8}">
  <dimension ref="A1:DI316"/>
  <sheetViews>
    <sheetView zoomScale="63" zoomScaleNormal="67" zoomScaleSheetLayoutView="63" workbookViewId="0">
      <selection activeCell="D2" sqref="D2:J3"/>
    </sheetView>
  </sheetViews>
  <sheetFormatPr baseColWidth="10" defaultColWidth="5" defaultRowHeight="10" x14ac:dyDescent="0.2"/>
  <cols>
    <col min="1" max="1" width="4.453125" style="3" customWidth="1"/>
    <col min="2" max="2" width="3.26953125" style="4" customWidth="1"/>
    <col min="3" max="3" width="4.453125" style="4" customWidth="1"/>
    <col min="4" max="5" width="5.453125" style="41" customWidth="1"/>
    <col min="6" max="12" width="8" style="5" customWidth="1"/>
    <col min="13" max="102" width="1" style="3" customWidth="1"/>
    <col min="103" max="109" width="5.26953125" style="3" customWidth="1"/>
    <col min="110" max="110" width="4.81640625" style="3" customWidth="1"/>
    <col min="111" max="16384" width="5" style="3"/>
  </cols>
  <sheetData>
    <row r="1" spans="1:111" x14ac:dyDescent="0.2">
      <c r="A1" s="17"/>
      <c r="B1" s="116"/>
      <c r="C1" s="116"/>
      <c r="D1" s="117"/>
      <c r="E1" s="117"/>
      <c r="F1" s="118"/>
      <c r="G1" s="118"/>
      <c r="H1" s="121"/>
      <c r="I1" s="121"/>
      <c r="J1" s="121"/>
      <c r="K1" s="121"/>
      <c r="L1" s="121"/>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7"/>
      <c r="DA1" s="17"/>
      <c r="DB1" s="17"/>
      <c r="DC1" s="17"/>
      <c r="DD1" s="17"/>
      <c r="DE1" s="17"/>
      <c r="DF1" s="17"/>
    </row>
    <row r="2" spans="1:111" s="65" customFormat="1" ht="6" customHeight="1" x14ac:dyDescent="0.25">
      <c r="A2" s="51"/>
      <c r="B2" s="154" t="s">
        <v>51</v>
      </c>
      <c r="C2" s="154"/>
      <c r="D2" s="143"/>
      <c r="E2" s="143"/>
      <c r="F2" s="143"/>
      <c r="G2" s="143"/>
      <c r="H2" s="143"/>
      <c r="I2" s="143"/>
      <c r="J2" s="143"/>
      <c r="K2" s="114"/>
      <c r="L2" s="114"/>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145" t="s">
        <v>37</v>
      </c>
      <c r="CZ2" s="146"/>
      <c r="DA2" s="146"/>
      <c r="DB2" s="146"/>
      <c r="DC2" s="146"/>
      <c r="DD2" s="146"/>
      <c r="DE2" s="147"/>
      <c r="DF2" s="51"/>
    </row>
    <row r="3" spans="1:111" s="65" customFormat="1" ht="6" customHeight="1" x14ac:dyDescent="0.25">
      <c r="A3" s="51"/>
      <c r="B3" s="154"/>
      <c r="C3" s="154"/>
      <c r="D3" s="144"/>
      <c r="E3" s="144"/>
      <c r="F3" s="144"/>
      <c r="G3" s="144"/>
      <c r="H3" s="144"/>
      <c r="I3" s="144"/>
      <c r="J3" s="144"/>
      <c r="K3" s="114"/>
      <c r="L3" s="114"/>
      <c r="M3" s="123"/>
      <c r="N3" s="123"/>
      <c r="O3" s="123"/>
      <c r="P3" s="123"/>
      <c r="Q3" s="123"/>
      <c r="R3" s="123"/>
      <c r="S3" s="123"/>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148"/>
      <c r="CZ3" s="149"/>
      <c r="DA3" s="149"/>
      <c r="DB3" s="149"/>
      <c r="DC3" s="149"/>
      <c r="DD3" s="149"/>
      <c r="DE3" s="150"/>
      <c r="DF3" s="54"/>
      <c r="DG3" s="79"/>
    </row>
    <row r="4" spans="1:111" s="65" customFormat="1" ht="6" customHeight="1" x14ac:dyDescent="0.25">
      <c r="A4" s="51"/>
      <c r="B4" s="89"/>
      <c r="C4" s="91"/>
      <c r="D4" s="92"/>
      <c r="E4" s="93"/>
      <c r="F4" s="93"/>
      <c r="G4" s="120"/>
      <c r="H4" s="114"/>
      <c r="I4" s="114"/>
      <c r="J4" s="114"/>
      <c r="K4" s="114"/>
      <c r="L4" s="114"/>
      <c r="M4" s="123"/>
      <c r="N4" s="123"/>
      <c r="O4" s="123"/>
      <c r="P4" s="123"/>
      <c r="Q4" s="123"/>
      <c r="R4" s="123"/>
      <c r="S4" s="123"/>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189"/>
      <c r="BE4" s="189"/>
      <c r="BF4" s="189"/>
      <c r="BG4" s="189"/>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55"/>
      <c r="CZ4" s="53"/>
      <c r="DA4" s="53"/>
      <c r="DB4" s="53"/>
      <c r="DC4" s="53"/>
      <c r="DD4" s="53"/>
      <c r="DE4" s="56"/>
      <c r="DF4" s="54"/>
      <c r="DG4" s="79"/>
    </row>
    <row r="5" spans="1:111" s="65" customFormat="1" ht="6" customHeight="1" x14ac:dyDescent="0.25">
      <c r="A5" s="51"/>
      <c r="B5" s="154" t="s">
        <v>52</v>
      </c>
      <c r="C5" s="154"/>
      <c r="D5" s="143"/>
      <c r="E5" s="143"/>
      <c r="F5" s="143"/>
      <c r="G5" s="143"/>
      <c r="H5" s="143"/>
      <c r="I5" s="143"/>
      <c r="J5" s="143"/>
      <c r="K5" s="114"/>
      <c r="L5" s="114"/>
      <c r="M5" s="123"/>
      <c r="N5" s="123"/>
      <c r="O5" s="123"/>
      <c r="P5" s="123"/>
      <c r="Q5" s="123"/>
      <c r="R5" s="123"/>
      <c r="S5" s="123"/>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189"/>
      <c r="BE5" s="189"/>
      <c r="BF5" s="189"/>
      <c r="BG5" s="189"/>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151" t="s">
        <v>33</v>
      </c>
      <c r="CZ5" s="152" t="s">
        <v>42</v>
      </c>
      <c r="DA5" s="152"/>
      <c r="DB5" s="152"/>
      <c r="DC5" s="152"/>
      <c r="DD5" s="152"/>
      <c r="DE5" s="153">
        <v>9</v>
      </c>
      <c r="DF5" s="53"/>
      <c r="DG5" s="79"/>
    </row>
    <row r="6" spans="1:111" s="65" customFormat="1" ht="6" customHeight="1" x14ac:dyDescent="0.25">
      <c r="A6" s="51"/>
      <c r="B6" s="154"/>
      <c r="C6" s="154"/>
      <c r="D6" s="144"/>
      <c r="E6" s="144"/>
      <c r="F6" s="144"/>
      <c r="G6" s="144"/>
      <c r="H6" s="144"/>
      <c r="I6" s="144"/>
      <c r="J6" s="144"/>
      <c r="K6" s="114"/>
      <c r="L6" s="114"/>
      <c r="M6" s="123"/>
      <c r="N6" s="123"/>
      <c r="O6" s="123"/>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151"/>
      <c r="CZ6" s="152"/>
      <c r="DA6" s="152"/>
      <c r="DB6" s="152"/>
      <c r="DC6" s="152"/>
      <c r="DD6" s="152"/>
      <c r="DE6" s="153"/>
      <c r="DF6" s="53"/>
      <c r="DG6" s="79"/>
    </row>
    <row r="7" spans="1:111" s="65" customFormat="1" ht="6" customHeight="1" x14ac:dyDescent="0.25">
      <c r="A7" s="51"/>
      <c r="B7" s="89"/>
      <c r="C7" s="91"/>
      <c r="D7" s="92"/>
      <c r="E7" s="93"/>
      <c r="F7" s="93"/>
      <c r="G7" s="120"/>
      <c r="H7" s="114"/>
      <c r="I7" s="114"/>
      <c r="J7" s="114"/>
      <c r="K7" s="114"/>
      <c r="L7" s="114"/>
      <c r="M7" s="123"/>
      <c r="N7" s="123"/>
      <c r="O7" s="123"/>
      <c r="P7" s="123"/>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189"/>
      <c r="BB7" s="189"/>
      <c r="BC7" s="189"/>
      <c r="BD7" s="189"/>
      <c r="BE7" s="75"/>
      <c r="BF7" s="75"/>
      <c r="BG7" s="189"/>
      <c r="BH7" s="189"/>
      <c r="BI7" s="189"/>
      <c r="BJ7" s="189"/>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58"/>
      <c r="CZ7" s="53"/>
      <c r="DA7" s="53"/>
      <c r="DB7" s="53"/>
      <c r="DC7" s="53"/>
      <c r="DD7" s="53"/>
      <c r="DE7" s="56"/>
      <c r="DF7" s="53"/>
      <c r="DG7" s="79"/>
    </row>
    <row r="8" spans="1:111" s="65" customFormat="1" ht="6" customHeight="1" x14ac:dyDescent="0.25">
      <c r="A8" s="51"/>
      <c r="B8" s="154" t="s">
        <v>53</v>
      </c>
      <c r="C8" s="154"/>
      <c r="D8" s="155"/>
      <c r="E8" s="155"/>
      <c r="F8" s="155"/>
      <c r="G8" s="155"/>
      <c r="H8" s="155"/>
      <c r="I8" s="155"/>
      <c r="J8" s="155"/>
      <c r="K8" s="114"/>
      <c r="L8" s="114"/>
      <c r="M8" s="123"/>
      <c r="N8" s="123"/>
      <c r="O8" s="123"/>
      <c r="P8" s="123"/>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189"/>
      <c r="BB8" s="189"/>
      <c r="BC8" s="189"/>
      <c r="BD8" s="189"/>
      <c r="BE8" s="75"/>
      <c r="BF8" s="75"/>
      <c r="BG8" s="189"/>
      <c r="BH8" s="189"/>
      <c r="BI8" s="189"/>
      <c r="BJ8" s="189"/>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75"/>
      <c r="CU8" s="75"/>
      <c r="CV8" s="75"/>
      <c r="CW8" s="75"/>
      <c r="CX8" s="75"/>
      <c r="CY8" s="151" t="s">
        <v>32</v>
      </c>
      <c r="CZ8" s="152" t="s">
        <v>43</v>
      </c>
      <c r="DA8" s="152"/>
      <c r="DB8" s="152"/>
      <c r="DC8" s="152"/>
      <c r="DD8" s="152"/>
      <c r="DE8" s="153">
        <v>3</v>
      </c>
      <c r="DF8" s="53"/>
      <c r="DG8" s="79"/>
    </row>
    <row r="9" spans="1:111" s="65" customFormat="1" ht="6" customHeight="1" x14ac:dyDescent="0.25">
      <c r="A9" s="51"/>
      <c r="B9" s="154"/>
      <c r="C9" s="154"/>
      <c r="D9" s="156"/>
      <c r="E9" s="156"/>
      <c r="F9" s="156"/>
      <c r="G9" s="156"/>
      <c r="H9" s="156"/>
      <c r="I9" s="156"/>
      <c r="J9" s="156"/>
      <c r="K9" s="114"/>
      <c r="L9" s="114"/>
      <c r="M9" s="123"/>
      <c r="N9" s="123"/>
      <c r="O9" s="123"/>
      <c r="P9" s="123"/>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151"/>
      <c r="CZ9" s="152"/>
      <c r="DA9" s="152"/>
      <c r="DB9" s="152"/>
      <c r="DC9" s="152"/>
      <c r="DD9" s="152"/>
      <c r="DE9" s="153"/>
      <c r="DF9" s="53"/>
      <c r="DG9" s="79"/>
    </row>
    <row r="10" spans="1:111" s="65" customFormat="1" ht="6" customHeight="1" x14ac:dyDescent="0.25">
      <c r="A10" s="51"/>
      <c r="B10" s="89"/>
      <c r="C10" s="91"/>
      <c r="D10" s="92"/>
      <c r="E10" s="93"/>
      <c r="F10" s="93"/>
      <c r="G10" s="120"/>
      <c r="H10" s="114"/>
      <c r="I10" s="114"/>
      <c r="J10" s="114"/>
      <c r="K10" s="114"/>
      <c r="L10" s="114"/>
      <c r="M10" s="123"/>
      <c r="N10" s="123"/>
      <c r="O10" s="123"/>
      <c r="P10" s="123"/>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189"/>
      <c r="AY10" s="189"/>
      <c r="AZ10" s="189"/>
      <c r="BA10" s="189"/>
      <c r="BB10" s="75"/>
      <c r="BC10" s="75"/>
      <c r="BD10" s="189"/>
      <c r="BE10" s="189"/>
      <c r="BF10" s="189"/>
      <c r="BG10" s="189"/>
      <c r="BH10" s="75"/>
      <c r="BI10" s="75"/>
      <c r="BJ10" s="189"/>
      <c r="BK10" s="189"/>
      <c r="BL10" s="189"/>
      <c r="BM10" s="189"/>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75"/>
      <c r="CU10" s="75"/>
      <c r="CV10" s="75"/>
      <c r="CW10" s="75"/>
      <c r="CX10" s="75"/>
      <c r="CY10" s="58"/>
      <c r="CZ10" s="53"/>
      <c r="DA10" s="53"/>
      <c r="DB10" s="53"/>
      <c r="DC10" s="53"/>
      <c r="DD10" s="53"/>
      <c r="DE10" s="56"/>
      <c r="DF10" s="53"/>
      <c r="DG10" s="79"/>
    </row>
    <row r="11" spans="1:111" s="65" customFormat="1" ht="6" customHeight="1" x14ac:dyDescent="0.25">
      <c r="A11" s="51"/>
      <c r="B11" s="154" t="s">
        <v>54</v>
      </c>
      <c r="C11" s="154"/>
      <c r="D11" s="143"/>
      <c r="E11" s="143"/>
      <c r="F11" s="143"/>
      <c r="G11" s="143"/>
      <c r="H11" s="143"/>
      <c r="I11" s="143"/>
      <c r="J11" s="143"/>
      <c r="K11" s="114"/>
      <c r="L11" s="114"/>
      <c r="M11" s="123"/>
      <c r="N11" s="123"/>
      <c r="O11" s="123"/>
      <c r="P11" s="123"/>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189"/>
      <c r="AY11" s="189"/>
      <c r="AZ11" s="189"/>
      <c r="BA11" s="189"/>
      <c r="BB11" s="75"/>
      <c r="BC11" s="75"/>
      <c r="BD11" s="189"/>
      <c r="BE11" s="189"/>
      <c r="BF11" s="189"/>
      <c r="BG11" s="189"/>
      <c r="BH11" s="75"/>
      <c r="BI11" s="75"/>
      <c r="BJ11" s="189"/>
      <c r="BK11" s="189"/>
      <c r="BL11" s="189"/>
      <c r="BM11" s="189"/>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151" t="s">
        <v>0</v>
      </c>
      <c r="CZ11" s="152" t="s">
        <v>44</v>
      </c>
      <c r="DA11" s="152"/>
      <c r="DB11" s="152"/>
      <c r="DC11" s="152"/>
      <c r="DD11" s="152"/>
      <c r="DE11" s="153">
        <v>1</v>
      </c>
      <c r="DF11" s="53"/>
      <c r="DG11" s="79"/>
    </row>
    <row r="12" spans="1:111" s="65" customFormat="1" ht="6" customHeight="1" x14ac:dyDescent="0.25">
      <c r="A12" s="51"/>
      <c r="B12" s="154"/>
      <c r="C12" s="154"/>
      <c r="D12" s="144"/>
      <c r="E12" s="144"/>
      <c r="F12" s="144"/>
      <c r="G12" s="144"/>
      <c r="H12" s="144"/>
      <c r="I12" s="144"/>
      <c r="J12" s="144"/>
      <c r="K12" s="114"/>
      <c r="L12" s="114"/>
      <c r="M12" s="123"/>
      <c r="N12" s="123"/>
      <c r="O12" s="123"/>
      <c r="P12" s="123"/>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151"/>
      <c r="CZ12" s="152"/>
      <c r="DA12" s="152"/>
      <c r="DB12" s="152"/>
      <c r="DC12" s="152"/>
      <c r="DD12" s="152"/>
      <c r="DE12" s="153"/>
      <c r="DF12" s="53"/>
      <c r="DG12" s="79"/>
    </row>
    <row r="13" spans="1:111" s="65" customFormat="1" ht="6" customHeight="1" x14ac:dyDescent="0.25">
      <c r="A13" s="51"/>
      <c r="B13" s="90"/>
      <c r="C13" s="94"/>
      <c r="D13" s="93"/>
      <c r="E13" s="93"/>
      <c r="F13" s="93"/>
      <c r="G13" s="93"/>
      <c r="H13" s="114"/>
      <c r="I13" s="114"/>
      <c r="J13" s="114"/>
      <c r="K13" s="114"/>
      <c r="L13" s="114"/>
      <c r="M13" s="123"/>
      <c r="N13" s="123"/>
      <c r="O13" s="123"/>
      <c r="P13" s="123"/>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189"/>
      <c r="AV13" s="189"/>
      <c r="AW13" s="189"/>
      <c r="AX13" s="189"/>
      <c r="AY13" s="75"/>
      <c r="AZ13" s="75"/>
      <c r="BA13" s="189"/>
      <c r="BB13" s="189"/>
      <c r="BC13" s="189"/>
      <c r="BD13" s="189"/>
      <c r="BE13" s="75"/>
      <c r="BF13" s="75"/>
      <c r="BG13" s="189"/>
      <c r="BH13" s="189"/>
      <c r="BI13" s="189"/>
      <c r="BJ13" s="189"/>
      <c r="BK13" s="75"/>
      <c r="BL13" s="75"/>
      <c r="BM13" s="189"/>
      <c r="BN13" s="189"/>
      <c r="BO13" s="189"/>
      <c r="BP13" s="189"/>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60"/>
      <c r="CZ13" s="53"/>
      <c r="DA13" s="53"/>
      <c r="DB13" s="53"/>
      <c r="DC13" s="53"/>
      <c r="DD13" s="53"/>
      <c r="DE13" s="56"/>
      <c r="DF13" s="53"/>
      <c r="DG13" s="79"/>
    </row>
    <row r="14" spans="1:111" s="65" customFormat="1" ht="6" customHeight="1" x14ac:dyDescent="0.25">
      <c r="A14" s="51"/>
      <c r="B14" s="8"/>
      <c r="C14" s="8"/>
      <c r="D14" s="143"/>
      <c r="E14" s="143"/>
      <c r="F14" s="143"/>
      <c r="G14" s="143"/>
      <c r="H14" s="143"/>
      <c r="I14" s="143"/>
      <c r="J14" s="143"/>
      <c r="K14" s="114"/>
      <c r="L14" s="114"/>
      <c r="M14" s="123"/>
      <c r="N14" s="123"/>
      <c r="O14" s="123"/>
      <c r="P14" s="123"/>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189"/>
      <c r="AV14" s="189"/>
      <c r="AW14" s="189"/>
      <c r="AX14" s="189"/>
      <c r="AY14" s="75"/>
      <c r="AZ14" s="75"/>
      <c r="BA14" s="189"/>
      <c r="BB14" s="189"/>
      <c r="BC14" s="189"/>
      <c r="BD14" s="189"/>
      <c r="BE14" s="75"/>
      <c r="BF14" s="75"/>
      <c r="BG14" s="189"/>
      <c r="BH14" s="189"/>
      <c r="BI14" s="189"/>
      <c r="BJ14" s="189"/>
      <c r="BK14" s="75"/>
      <c r="BL14" s="75"/>
      <c r="BM14" s="189"/>
      <c r="BN14" s="189"/>
      <c r="BO14" s="189"/>
      <c r="BP14" s="189"/>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169" t="s">
        <v>34</v>
      </c>
      <c r="CZ14" s="152" t="s">
        <v>40</v>
      </c>
      <c r="DA14" s="152"/>
      <c r="DB14" s="152"/>
      <c r="DC14" s="152"/>
      <c r="DD14" s="152"/>
      <c r="DE14" s="113"/>
      <c r="DF14" s="53"/>
      <c r="DG14" s="79"/>
    </row>
    <row r="15" spans="1:111" s="65" customFormat="1" ht="6" customHeight="1" x14ac:dyDescent="0.25">
      <c r="A15" s="51"/>
      <c r="B15" s="8"/>
      <c r="C15" s="8"/>
      <c r="D15" s="144"/>
      <c r="E15" s="144"/>
      <c r="F15" s="144"/>
      <c r="G15" s="144"/>
      <c r="H15" s="144"/>
      <c r="I15" s="144"/>
      <c r="J15" s="144"/>
      <c r="K15" s="114"/>
      <c r="L15" s="114"/>
      <c r="M15" s="123"/>
      <c r="N15" s="123"/>
      <c r="O15" s="123"/>
      <c r="P15" s="123"/>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169"/>
      <c r="CZ15" s="152"/>
      <c r="DA15" s="152"/>
      <c r="DB15" s="152"/>
      <c r="DC15" s="152"/>
      <c r="DD15" s="152"/>
      <c r="DE15" s="113"/>
      <c r="DF15" s="53"/>
      <c r="DG15" s="79"/>
    </row>
    <row r="16" spans="1:111" s="65" customFormat="1" ht="6" customHeight="1" x14ac:dyDescent="0.25">
      <c r="A16" s="51"/>
      <c r="B16" s="8"/>
      <c r="C16" s="8"/>
      <c r="D16" s="93"/>
      <c r="E16" s="93"/>
      <c r="F16" s="93"/>
      <c r="G16" s="93"/>
      <c r="H16" s="114"/>
      <c r="I16" s="114"/>
      <c r="J16" s="114"/>
      <c r="K16" s="114"/>
      <c r="L16" s="114"/>
      <c r="M16" s="123"/>
      <c r="N16" s="123"/>
      <c r="O16" s="123"/>
      <c r="P16" s="123"/>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189"/>
      <c r="AS16" s="189"/>
      <c r="AT16" s="189"/>
      <c r="AU16" s="189"/>
      <c r="AV16" s="75"/>
      <c r="AW16" s="75"/>
      <c r="AX16" s="189"/>
      <c r="AY16" s="189"/>
      <c r="AZ16" s="189"/>
      <c r="BA16" s="189"/>
      <c r="BB16" s="75"/>
      <c r="BC16" s="75"/>
      <c r="BD16" s="189"/>
      <c r="BE16" s="189"/>
      <c r="BF16" s="189"/>
      <c r="BG16" s="189"/>
      <c r="BH16" s="75"/>
      <c r="BI16" s="75"/>
      <c r="BJ16" s="189"/>
      <c r="BK16" s="189"/>
      <c r="BL16" s="189"/>
      <c r="BM16" s="189"/>
      <c r="BN16" s="75"/>
      <c r="BO16" s="75"/>
      <c r="BP16" s="189"/>
      <c r="BQ16" s="189"/>
      <c r="BR16" s="189"/>
      <c r="BS16" s="189"/>
      <c r="BT16" s="75"/>
      <c r="BU16" s="75"/>
      <c r="BV16" s="75"/>
      <c r="BW16" s="75"/>
      <c r="BX16" s="75"/>
      <c r="BY16" s="75"/>
      <c r="BZ16" s="75"/>
      <c r="CA16" s="75"/>
      <c r="CB16" s="75"/>
      <c r="CC16" s="75"/>
      <c r="CD16" s="75"/>
      <c r="CE16" s="75"/>
      <c r="CF16" s="75"/>
      <c r="CG16" s="75"/>
      <c r="CH16" s="75"/>
      <c r="CI16" s="75"/>
      <c r="CJ16" s="75"/>
      <c r="CK16" s="75"/>
      <c r="CL16" s="75"/>
      <c r="CM16" s="75"/>
      <c r="CN16" s="75"/>
      <c r="CO16" s="75"/>
      <c r="CP16" s="75"/>
      <c r="CQ16" s="75"/>
      <c r="CR16" s="75"/>
      <c r="CS16" s="75"/>
      <c r="CT16" s="75"/>
      <c r="CU16" s="75"/>
      <c r="CV16" s="75"/>
      <c r="CW16" s="75"/>
      <c r="CX16" s="75"/>
      <c r="CY16" s="60"/>
      <c r="CZ16" s="53"/>
      <c r="DA16" s="53"/>
      <c r="DB16" s="53"/>
      <c r="DC16" s="53"/>
      <c r="DD16" s="53"/>
      <c r="DE16" s="56"/>
      <c r="DF16" s="53"/>
      <c r="DG16" s="79"/>
    </row>
    <row r="17" spans="1:111" s="65" customFormat="1" ht="6" customHeight="1" x14ac:dyDescent="0.25">
      <c r="A17" s="51"/>
      <c r="B17" s="8"/>
      <c r="C17" s="8"/>
      <c r="D17" s="143"/>
      <c r="E17" s="143"/>
      <c r="F17" s="143"/>
      <c r="G17" s="143"/>
      <c r="H17" s="143"/>
      <c r="I17" s="143"/>
      <c r="J17" s="143"/>
      <c r="K17" s="114"/>
      <c r="L17" s="114"/>
      <c r="M17" s="123"/>
      <c r="N17" s="123"/>
      <c r="O17" s="123"/>
      <c r="P17" s="123"/>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189"/>
      <c r="AS17" s="189"/>
      <c r="AT17" s="189"/>
      <c r="AU17" s="189"/>
      <c r="AV17" s="75"/>
      <c r="AW17" s="75"/>
      <c r="AX17" s="189"/>
      <c r="AY17" s="189"/>
      <c r="AZ17" s="189"/>
      <c r="BA17" s="189"/>
      <c r="BB17" s="75"/>
      <c r="BC17" s="75"/>
      <c r="BD17" s="189"/>
      <c r="BE17" s="189"/>
      <c r="BF17" s="189"/>
      <c r="BG17" s="189"/>
      <c r="BH17" s="75"/>
      <c r="BI17" s="75"/>
      <c r="BJ17" s="189"/>
      <c r="BK17" s="189"/>
      <c r="BL17" s="189"/>
      <c r="BM17" s="189"/>
      <c r="BN17" s="75"/>
      <c r="BO17" s="75"/>
      <c r="BP17" s="189"/>
      <c r="BQ17" s="189"/>
      <c r="BR17" s="189"/>
      <c r="BS17" s="189"/>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169" t="s">
        <v>31</v>
      </c>
      <c r="CZ17" s="152" t="s">
        <v>39</v>
      </c>
      <c r="DA17" s="152"/>
      <c r="DB17" s="152"/>
      <c r="DC17" s="152"/>
      <c r="DD17" s="152"/>
      <c r="DE17" s="113"/>
      <c r="DF17" s="53"/>
      <c r="DG17" s="79"/>
    </row>
    <row r="18" spans="1:111" s="65" customFormat="1" ht="6" customHeight="1" x14ac:dyDescent="0.25">
      <c r="A18" s="51"/>
      <c r="B18" s="8"/>
      <c r="C18" s="8"/>
      <c r="D18" s="144"/>
      <c r="E18" s="144"/>
      <c r="F18" s="144"/>
      <c r="G18" s="144"/>
      <c r="H18" s="144"/>
      <c r="I18" s="144"/>
      <c r="J18" s="144"/>
      <c r="K18" s="114"/>
      <c r="L18" s="114"/>
      <c r="M18" s="123"/>
      <c r="N18" s="123"/>
      <c r="O18" s="123"/>
      <c r="P18" s="123"/>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75"/>
      <c r="CU18" s="75"/>
      <c r="CV18" s="75"/>
      <c r="CW18" s="75"/>
      <c r="CX18" s="75"/>
      <c r="CY18" s="169"/>
      <c r="CZ18" s="152"/>
      <c r="DA18" s="152"/>
      <c r="DB18" s="152"/>
      <c r="DC18" s="152"/>
      <c r="DD18" s="152"/>
      <c r="DE18" s="113"/>
      <c r="DF18" s="53"/>
      <c r="DG18" s="79"/>
    </row>
    <row r="19" spans="1:111" s="65" customFormat="1" ht="6" customHeight="1" x14ac:dyDescent="0.25">
      <c r="A19" s="51"/>
      <c r="B19" s="8"/>
      <c r="C19" s="8"/>
      <c r="D19" s="93"/>
      <c r="E19" s="93"/>
      <c r="F19" s="93"/>
      <c r="G19" s="93"/>
      <c r="H19" s="114"/>
      <c r="I19" s="114"/>
      <c r="J19" s="114"/>
      <c r="K19" s="114"/>
      <c r="L19" s="114"/>
      <c r="M19" s="123"/>
      <c r="N19" s="123"/>
      <c r="O19" s="123"/>
      <c r="P19" s="123"/>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189"/>
      <c r="AP19" s="189"/>
      <c r="AQ19" s="189"/>
      <c r="AR19" s="189"/>
      <c r="AS19" s="75"/>
      <c r="AT19" s="75"/>
      <c r="AU19" s="189"/>
      <c r="AV19" s="189"/>
      <c r="AW19" s="189"/>
      <c r="AX19" s="189"/>
      <c r="AY19" s="75"/>
      <c r="AZ19" s="75"/>
      <c r="BA19" s="189"/>
      <c r="BB19" s="189"/>
      <c r="BC19" s="189"/>
      <c r="BD19" s="189"/>
      <c r="BE19" s="75"/>
      <c r="BF19" s="75"/>
      <c r="BG19" s="189"/>
      <c r="BH19" s="189"/>
      <c r="BI19" s="189"/>
      <c r="BJ19" s="189"/>
      <c r="BK19" s="75"/>
      <c r="BL19" s="75"/>
      <c r="BM19" s="189"/>
      <c r="BN19" s="189"/>
      <c r="BO19" s="189"/>
      <c r="BP19" s="189"/>
      <c r="BQ19" s="75"/>
      <c r="BR19" s="75"/>
      <c r="BS19" s="189"/>
      <c r="BT19" s="189"/>
      <c r="BU19" s="189"/>
      <c r="BV19" s="189"/>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75"/>
      <c r="CU19" s="75"/>
      <c r="CV19" s="75"/>
      <c r="CW19" s="75"/>
      <c r="CX19" s="75"/>
      <c r="CY19" s="60"/>
      <c r="CZ19" s="53"/>
      <c r="DA19" s="53"/>
      <c r="DB19" s="53"/>
      <c r="DC19" s="53"/>
      <c r="DD19" s="53"/>
      <c r="DE19" s="56"/>
      <c r="DF19" s="53"/>
      <c r="DG19" s="79"/>
    </row>
    <row r="20" spans="1:111" s="65" customFormat="1" ht="6" customHeight="1" x14ac:dyDescent="0.25">
      <c r="A20" s="51"/>
      <c r="B20" s="8"/>
      <c r="C20" s="8"/>
      <c r="D20" s="143"/>
      <c r="E20" s="143"/>
      <c r="F20" s="143"/>
      <c r="G20" s="143"/>
      <c r="H20" s="143"/>
      <c r="I20" s="143"/>
      <c r="J20" s="143"/>
      <c r="K20" s="114"/>
      <c r="L20" s="114"/>
      <c r="M20" s="123"/>
      <c r="N20" s="123"/>
      <c r="O20" s="123"/>
      <c r="P20" s="123"/>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189"/>
      <c r="AP20" s="189"/>
      <c r="AQ20" s="189"/>
      <c r="AR20" s="189"/>
      <c r="AS20" s="75"/>
      <c r="AT20" s="75"/>
      <c r="AU20" s="189"/>
      <c r="AV20" s="189"/>
      <c r="AW20" s="189"/>
      <c r="AX20" s="189"/>
      <c r="AY20" s="75"/>
      <c r="AZ20" s="75"/>
      <c r="BA20" s="189"/>
      <c r="BB20" s="189"/>
      <c r="BC20" s="189"/>
      <c r="BD20" s="189"/>
      <c r="BE20" s="75"/>
      <c r="BF20" s="75"/>
      <c r="BG20" s="189"/>
      <c r="BH20" s="189"/>
      <c r="BI20" s="189"/>
      <c r="BJ20" s="189"/>
      <c r="BK20" s="75"/>
      <c r="BL20" s="75"/>
      <c r="BM20" s="189"/>
      <c r="BN20" s="189"/>
      <c r="BO20" s="189"/>
      <c r="BP20" s="189"/>
      <c r="BQ20" s="75"/>
      <c r="BR20" s="75"/>
      <c r="BS20" s="189"/>
      <c r="BT20" s="189"/>
      <c r="BU20" s="189"/>
      <c r="BV20" s="189"/>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75"/>
      <c r="CU20" s="75"/>
      <c r="CV20" s="75"/>
      <c r="CW20" s="75"/>
      <c r="CX20" s="75"/>
      <c r="CY20" s="169" t="s">
        <v>30</v>
      </c>
      <c r="CZ20" s="152" t="s">
        <v>38</v>
      </c>
      <c r="DA20" s="152"/>
      <c r="DB20" s="152"/>
      <c r="DC20" s="152"/>
      <c r="DD20" s="152"/>
      <c r="DE20" s="113"/>
      <c r="DF20" s="53"/>
      <c r="DG20" s="79"/>
    </row>
    <row r="21" spans="1:111" s="65" customFormat="1" ht="6" customHeight="1" x14ac:dyDescent="0.25">
      <c r="A21" s="51"/>
      <c r="B21" s="8"/>
      <c r="C21" s="8"/>
      <c r="D21" s="144"/>
      <c r="E21" s="144"/>
      <c r="F21" s="144"/>
      <c r="G21" s="144"/>
      <c r="H21" s="144"/>
      <c r="I21" s="144"/>
      <c r="J21" s="144"/>
      <c r="K21" s="114"/>
      <c r="L21" s="114"/>
      <c r="M21" s="123"/>
      <c r="N21" s="123"/>
      <c r="O21" s="123"/>
      <c r="P21" s="123"/>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169"/>
      <c r="CZ21" s="152"/>
      <c r="DA21" s="152"/>
      <c r="DB21" s="152"/>
      <c r="DC21" s="152"/>
      <c r="DD21" s="152"/>
      <c r="DE21" s="113"/>
      <c r="DF21" s="53"/>
      <c r="DG21" s="79"/>
    </row>
    <row r="22" spans="1:111" s="65" customFormat="1" ht="6" customHeight="1" x14ac:dyDescent="0.25">
      <c r="A22" s="51"/>
      <c r="B22" s="8"/>
      <c r="C22" s="8"/>
      <c r="D22" s="93"/>
      <c r="E22" s="93"/>
      <c r="F22" s="93"/>
      <c r="G22" s="93"/>
      <c r="H22" s="114"/>
      <c r="I22" s="114"/>
      <c r="J22" s="114"/>
      <c r="K22" s="114"/>
      <c r="L22" s="114"/>
      <c r="M22" s="123"/>
      <c r="N22" s="123"/>
      <c r="O22" s="123"/>
      <c r="P22" s="123"/>
      <c r="Q22" s="75"/>
      <c r="R22" s="75"/>
      <c r="S22" s="75"/>
      <c r="T22" s="75"/>
      <c r="U22" s="75"/>
      <c r="V22" s="75"/>
      <c r="W22" s="75"/>
      <c r="X22" s="75"/>
      <c r="Y22" s="75"/>
      <c r="Z22" s="75"/>
      <c r="AA22" s="75"/>
      <c r="AB22" s="75"/>
      <c r="AC22" s="75"/>
      <c r="AD22" s="75"/>
      <c r="AE22" s="75"/>
      <c r="AF22" s="75"/>
      <c r="AG22" s="75"/>
      <c r="AH22" s="75"/>
      <c r="AI22" s="75"/>
      <c r="AJ22" s="75"/>
      <c r="AK22" s="75"/>
      <c r="AL22" s="189"/>
      <c r="AM22" s="189"/>
      <c r="AN22" s="189"/>
      <c r="AO22" s="189"/>
      <c r="AP22" s="75"/>
      <c r="AQ22" s="75"/>
      <c r="AR22" s="189"/>
      <c r="AS22" s="189"/>
      <c r="AT22" s="189"/>
      <c r="AU22" s="189"/>
      <c r="AV22" s="75"/>
      <c r="AW22" s="75"/>
      <c r="AX22" s="189"/>
      <c r="AY22" s="189"/>
      <c r="AZ22" s="189"/>
      <c r="BA22" s="189"/>
      <c r="BB22" s="75"/>
      <c r="BC22" s="75"/>
      <c r="BD22" s="189"/>
      <c r="BE22" s="189"/>
      <c r="BF22" s="189"/>
      <c r="BG22" s="189"/>
      <c r="BH22" s="75"/>
      <c r="BI22" s="75"/>
      <c r="BJ22" s="189"/>
      <c r="BK22" s="189"/>
      <c r="BL22" s="189"/>
      <c r="BM22" s="189"/>
      <c r="BN22" s="75"/>
      <c r="BO22" s="75"/>
      <c r="BP22" s="189"/>
      <c r="BQ22" s="189"/>
      <c r="BR22" s="189"/>
      <c r="BS22" s="189"/>
      <c r="BT22" s="75"/>
      <c r="BU22" s="75"/>
      <c r="BV22" s="189"/>
      <c r="BW22" s="189"/>
      <c r="BX22" s="189"/>
      <c r="BY22" s="189"/>
      <c r="BZ22" s="75"/>
      <c r="CA22" s="75"/>
      <c r="CB22" s="75"/>
      <c r="CC22" s="75"/>
      <c r="CD22" s="75"/>
      <c r="CE22" s="75"/>
      <c r="CF22" s="75"/>
      <c r="CG22" s="75"/>
      <c r="CH22" s="75"/>
      <c r="CI22" s="75"/>
      <c r="CJ22" s="75"/>
      <c r="CK22" s="75"/>
      <c r="CL22" s="75"/>
      <c r="CM22" s="75"/>
      <c r="CN22" s="75"/>
      <c r="CO22" s="75"/>
      <c r="CP22" s="75"/>
      <c r="CQ22" s="75"/>
      <c r="CR22" s="75"/>
      <c r="CS22" s="75"/>
      <c r="CT22" s="75"/>
      <c r="CU22" s="75"/>
      <c r="CV22" s="75"/>
      <c r="CW22" s="75"/>
      <c r="CX22" s="75"/>
      <c r="CY22" s="60"/>
      <c r="CZ22" s="53"/>
      <c r="DA22" s="53"/>
      <c r="DB22" s="53"/>
      <c r="DC22" s="53"/>
      <c r="DD22" s="53"/>
      <c r="DE22" s="56"/>
      <c r="DF22" s="53"/>
      <c r="DG22" s="79"/>
    </row>
    <row r="23" spans="1:111" s="65" customFormat="1" ht="6" customHeight="1" x14ac:dyDescent="0.25">
      <c r="A23" s="51"/>
      <c r="B23" s="8"/>
      <c r="C23" s="8"/>
      <c r="D23" s="143"/>
      <c r="E23" s="143"/>
      <c r="F23" s="143"/>
      <c r="G23" s="143"/>
      <c r="H23" s="143"/>
      <c r="I23" s="143"/>
      <c r="J23" s="143"/>
      <c r="K23" s="114"/>
      <c r="L23" s="114"/>
      <c r="M23" s="123"/>
      <c r="N23" s="123"/>
      <c r="O23" s="123"/>
      <c r="P23" s="123"/>
      <c r="Q23" s="75"/>
      <c r="R23" s="75"/>
      <c r="S23" s="75"/>
      <c r="T23" s="75"/>
      <c r="U23" s="75"/>
      <c r="V23" s="75"/>
      <c r="W23" s="75"/>
      <c r="X23" s="75"/>
      <c r="Y23" s="75"/>
      <c r="Z23" s="75"/>
      <c r="AA23" s="75"/>
      <c r="AB23" s="75"/>
      <c r="AC23" s="75"/>
      <c r="AD23" s="75"/>
      <c r="AE23" s="75"/>
      <c r="AF23" s="75"/>
      <c r="AG23" s="75"/>
      <c r="AH23" s="75"/>
      <c r="AI23" s="75"/>
      <c r="AJ23" s="75"/>
      <c r="AK23" s="75"/>
      <c r="AL23" s="189"/>
      <c r="AM23" s="189"/>
      <c r="AN23" s="189"/>
      <c r="AO23" s="189"/>
      <c r="AP23" s="75"/>
      <c r="AQ23" s="75"/>
      <c r="AR23" s="189"/>
      <c r="AS23" s="189"/>
      <c r="AT23" s="189"/>
      <c r="AU23" s="189"/>
      <c r="AV23" s="75"/>
      <c r="AW23" s="75"/>
      <c r="AX23" s="189"/>
      <c r="AY23" s="189"/>
      <c r="AZ23" s="189"/>
      <c r="BA23" s="189"/>
      <c r="BB23" s="75"/>
      <c r="BC23" s="75"/>
      <c r="BD23" s="189"/>
      <c r="BE23" s="189"/>
      <c r="BF23" s="189"/>
      <c r="BG23" s="189"/>
      <c r="BH23" s="75"/>
      <c r="BI23" s="75"/>
      <c r="BJ23" s="189"/>
      <c r="BK23" s="189"/>
      <c r="BL23" s="189"/>
      <c r="BM23" s="189"/>
      <c r="BN23" s="75"/>
      <c r="BO23" s="75"/>
      <c r="BP23" s="189"/>
      <c r="BQ23" s="189"/>
      <c r="BR23" s="189"/>
      <c r="BS23" s="189"/>
      <c r="BT23" s="75"/>
      <c r="BU23" s="75"/>
      <c r="BV23" s="189"/>
      <c r="BW23" s="189"/>
      <c r="BX23" s="189"/>
      <c r="BY23" s="189"/>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169" t="s">
        <v>4</v>
      </c>
      <c r="CZ23" s="152" t="s">
        <v>41</v>
      </c>
      <c r="DA23" s="152"/>
      <c r="DB23" s="152"/>
      <c r="DC23" s="152"/>
      <c r="DD23" s="152"/>
      <c r="DE23" s="113"/>
      <c r="DF23" s="53"/>
      <c r="DG23" s="79"/>
    </row>
    <row r="24" spans="1:111" s="65" customFormat="1" ht="6" customHeight="1" x14ac:dyDescent="0.25">
      <c r="A24" s="51"/>
      <c r="B24" s="8"/>
      <c r="C24" s="8"/>
      <c r="D24" s="144"/>
      <c r="E24" s="144"/>
      <c r="F24" s="144"/>
      <c r="G24" s="144"/>
      <c r="H24" s="144"/>
      <c r="I24" s="144"/>
      <c r="J24" s="144"/>
      <c r="K24" s="114"/>
      <c r="L24" s="114"/>
      <c r="M24" s="123"/>
      <c r="N24" s="123"/>
      <c r="O24" s="123"/>
      <c r="P24" s="123"/>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169"/>
      <c r="CZ24" s="152"/>
      <c r="DA24" s="152"/>
      <c r="DB24" s="152"/>
      <c r="DC24" s="152"/>
      <c r="DD24" s="152"/>
      <c r="DE24" s="113"/>
      <c r="DF24" s="53"/>
      <c r="DG24" s="79"/>
    </row>
    <row r="25" spans="1:111" s="65" customFormat="1" ht="6" customHeight="1" x14ac:dyDescent="0.25">
      <c r="A25" s="51"/>
      <c r="B25" s="8"/>
      <c r="C25" s="8"/>
      <c r="D25" s="93"/>
      <c r="E25" s="93"/>
      <c r="F25" s="93"/>
      <c r="G25" s="93"/>
      <c r="H25" s="114"/>
      <c r="I25" s="114"/>
      <c r="J25" s="114"/>
      <c r="K25" s="114"/>
      <c r="L25" s="114"/>
      <c r="M25" s="123"/>
      <c r="N25" s="123"/>
      <c r="O25" s="123"/>
      <c r="P25" s="123"/>
      <c r="Q25" s="75"/>
      <c r="R25" s="75"/>
      <c r="S25" s="75"/>
      <c r="T25" s="75"/>
      <c r="U25" s="75"/>
      <c r="V25" s="75"/>
      <c r="W25" s="75"/>
      <c r="X25" s="75"/>
      <c r="Y25" s="75"/>
      <c r="Z25" s="75"/>
      <c r="AA25" s="75"/>
      <c r="AB25" s="75"/>
      <c r="AC25" s="75"/>
      <c r="AD25" s="75"/>
      <c r="AE25" s="75"/>
      <c r="AF25" s="75"/>
      <c r="AG25" s="75"/>
      <c r="AH25" s="75"/>
      <c r="AI25" s="189"/>
      <c r="AJ25" s="189"/>
      <c r="AK25" s="189"/>
      <c r="AL25" s="189"/>
      <c r="AM25" s="75"/>
      <c r="AN25" s="75"/>
      <c r="AO25" s="189"/>
      <c r="AP25" s="189"/>
      <c r="AQ25" s="189"/>
      <c r="AR25" s="189"/>
      <c r="AS25" s="75"/>
      <c r="AT25" s="75"/>
      <c r="AU25" s="189"/>
      <c r="AV25" s="189"/>
      <c r="AW25" s="189"/>
      <c r="AX25" s="189"/>
      <c r="AY25" s="75"/>
      <c r="AZ25" s="75"/>
      <c r="BA25" s="189"/>
      <c r="BB25" s="189"/>
      <c r="BC25" s="189"/>
      <c r="BD25" s="189"/>
      <c r="BE25" s="75"/>
      <c r="BF25" s="75"/>
      <c r="BG25" s="189"/>
      <c r="BH25" s="189"/>
      <c r="BI25" s="189"/>
      <c r="BJ25" s="189"/>
      <c r="BK25" s="75"/>
      <c r="BL25" s="75"/>
      <c r="BM25" s="189"/>
      <c r="BN25" s="189"/>
      <c r="BO25" s="189"/>
      <c r="BP25" s="189"/>
      <c r="BQ25" s="75"/>
      <c r="BR25" s="75"/>
      <c r="BS25" s="189"/>
      <c r="BT25" s="189"/>
      <c r="BU25" s="189"/>
      <c r="BV25" s="189"/>
      <c r="BW25" s="75"/>
      <c r="BX25" s="75"/>
      <c r="BY25" s="189"/>
      <c r="BZ25" s="189"/>
      <c r="CA25" s="189"/>
      <c r="CB25" s="189"/>
      <c r="CC25" s="75"/>
      <c r="CD25" s="75"/>
      <c r="CE25" s="75"/>
      <c r="CF25" s="75"/>
      <c r="CG25" s="75"/>
      <c r="CH25" s="75"/>
      <c r="CI25" s="75"/>
      <c r="CJ25" s="75"/>
      <c r="CK25" s="75"/>
      <c r="CL25" s="75"/>
      <c r="CM25" s="75"/>
      <c r="CN25" s="75"/>
      <c r="CO25" s="75"/>
      <c r="CP25" s="75"/>
      <c r="CQ25" s="75"/>
      <c r="CR25" s="75"/>
      <c r="CS25" s="75"/>
      <c r="CT25" s="75"/>
      <c r="CU25" s="75"/>
      <c r="CV25" s="75"/>
      <c r="CW25" s="75"/>
      <c r="CX25" s="75"/>
      <c r="CY25" s="55"/>
      <c r="CZ25" s="53"/>
      <c r="DA25" s="53"/>
      <c r="DB25" s="53"/>
      <c r="DC25" s="53"/>
      <c r="DD25" s="53"/>
      <c r="DE25" s="56"/>
      <c r="DF25" s="53"/>
      <c r="DG25" s="79"/>
    </row>
    <row r="26" spans="1:111" s="65" customFormat="1" ht="6" customHeight="1" x14ac:dyDescent="0.25">
      <c r="A26" s="51"/>
      <c r="B26" s="8"/>
      <c r="C26" s="8"/>
      <c r="D26" s="143"/>
      <c r="E26" s="143"/>
      <c r="F26" s="143"/>
      <c r="G26" s="143"/>
      <c r="H26" s="143"/>
      <c r="I26" s="143"/>
      <c r="J26" s="143"/>
      <c r="K26" s="114"/>
      <c r="L26" s="114"/>
      <c r="M26" s="123"/>
      <c r="N26" s="123"/>
      <c r="O26" s="123"/>
      <c r="P26" s="123"/>
      <c r="Q26" s="75"/>
      <c r="R26" s="75"/>
      <c r="S26" s="75"/>
      <c r="T26" s="75"/>
      <c r="U26" s="75"/>
      <c r="V26" s="75"/>
      <c r="W26" s="75"/>
      <c r="X26" s="75"/>
      <c r="Y26" s="75"/>
      <c r="Z26" s="75"/>
      <c r="AA26" s="75"/>
      <c r="AB26" s="75"/>
      <c r="AC26" s="75"/>
      <c r="AD26" s="75"/>
      <c r="AE26" s="75"/>
      <c r="AF26" s="75"/>
      <c r="AG26" s="75"/>
      <c r="AH26" s="75"/>
      <c r="AI26" s="189"/>
      <c r="AJ26" s="189"/>
      <c r="AK26" s="189"/>
      <c r="AL26" s="189"/>
      <c r="AM26" s="75"/>
      <c r="AN26" s="75"/>
      <c r="AO26" s="189"/>
      <c r="AP26" s="189"/>
      <c r="AQ26" s="189"/>
      <c r="AR26" s="189"/>
      <c r="AS26" s="75"/>
      <c r="AT26" s="75"/>
      <c r="AU26" s="189"/>
      <c r="AV26" s="189"/>
      <c r="AW26" s="189"/>
      <c r="AX26" s="189"/>
      <c r="AY26" s="75"/>
      <c r="AZ26" s="75"/>
      <c r="BA26" s="189"/>
      <c r="BB26" s="189"/>
      <c r="BC26" s="189"/>
      <c r="BD26" s="189"/>
      <c r="BE26" s="75"/>
      <c r="BF26" s="75"/>
      <c r="BG26" s="189"/>
      <c r="BH26" s="189"/>
      <c r="BI26" s="189"/>
      <c r="BJ26" s="189"/>
      <c r="BK26" s="75"/>
      <c r="BL26" s="75"/>
      <c r="BM26" s="189"/>
      <c r="BN26" s="189"/>
      <c r="BO26" s="189"/>
      <c r="BP26" s="189"/>
      <c r="BQ26" s="75"/>
      <c r="BR26" s="75"/>
      <c r="BS26" s="189"/>
      <c r="BT26" s="189"/>
      <c r="BU26" s="189"/>
      <c r="BV26" s="189"/>
      <c r="BW26" s="75"/>
      <c r="BX26" s="75"/>
      <c r="BY26" s="189"/>
      <c r="BZ26" s="189"/>
      <c r="CA26" s="189"/>
      <c r="CB26" s="189"/>
      <c r="CC26" s="75"/>
      <c r="CD26" s="75"/>
      <c r="CE26" s="75"/>
      <c r="CF26" s="75"/>
      <c r="CG26" s="75"/>
      <c r="CH26" s="75"/>
      <c r="CI26" s="75"/>
      <c r="CJ26" s="75"/>
      <c r="CK26" s="75"/>
      <c r="CL26" s="75"/>
      <c r="CM26" s="75"/>
      <c r="CN26" s="75"/>
      <c r="CO26" s="75"/>
      <c r="CP26" s="75"/>
      <c r="CQ26" s="75"/>
      <c r="CR26" s="75"/>
      <c r="CS26" s="75"/>
      <c r="CT26" s="75"/>
      <c r="CU26" s="75"/>
      <c r="CV26" s="75"/>
      <c r="CW26" s="75"/>
      <c r="CX26" s="75"/>
      <c r="CY26" s="162" t="s">
        <v>4</v>
      </c>
      <c r="CZ26" s="152" t="s">
        <v>45</v>
      </c>
      <c r="DA26" s="152"/>
      <c r="DB26" s="152"/>
      <c r="DC26" s="152"/>
      <c r="DD26" s="152"/>
      <c r="DE26" s="113"/>
      <c r="DF26" s="53"/>
      <c r="DG26" s="79"/>
    </row>
    <row r="27" spans="1:111" s="65" customFormat="1" ht="6" customHeight="1" x14ac:dyDescent="0.25">
      <c r="A27" s="51"/>
      <c r="B27" s="8"/>
      <c r="C27" s="8"/>
      <c r="D27" s="144"/>
      <c r="E27" s="144"/>
      <c r="F27" s="144"/>
      <c r="G27" s="144"/>
      <c r="H27" s="144"/>
      <c r="I27" s="144"/>
      <c r="J27" s="144"/>
      <c r="K27" s="114"/>
      <c r="L27" s="114"/>
      <c r="M27" s="123"/>
      <c r="N27" s="123"/>
      <c r="O27" s="123"/>
      <c r="P27" s="123"/>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75"/>
      <c r="CF27" s="75"/>
      <c r="CG27" s="75"/>
      <c r="CH27" s="75"/>
      <c r="CI27" s="75"/>
      <c r="CJ27" s="75"/>
      <c r="CK27" s="75"/>
      <c r="CL27" s="75"/>
      <c r="CM27" s="75"/>
      <c r="CN27" s="75"/>
      <c r="CO27" s="75"/>
      <c r="CP27" s="75"/>
      <c r="CQ27" s="75"/>
      <c r="CR27" s="75"/>
      <c r="CS27" s="75"/>
      <c r="CT27" s="75"/>
      <c r="CU27" s="75"/>
      <c r="CV27" s="75"/>
      <c r="CW27" s="75"/>
      <c r="CX27" s="75"/>
      <c r="CY27" s="162"/>
      <c r="CZ27" s="152"/>
      <c r="DA27" s="152"/>
      <c r="DB27" s="152"/>
      <c r="DC27" s="152"/>
      <c r="DD27" s="152"/>
      <c r="DE27" s="113"/>
      <c r="DF27" s="53"/>
      <c r="DG27" s="79"/>
    </row>
    <row r="28" spans="1:111" s="65" customFormat="1" ht="6" customHeight="1" x14ac:dyDescent="0.25">
      <c r="A28" s="51"/>
      <c r="B28" s="8"/>
      <c r="C28" s="8"/>
      <c r="D28" s="93"/>
      <c r="E28" s="93"/>
      <c r="F28" s="93"/>
      <c r="G28" s="93"/>
      <c r="H28" s="114"/>
      <c r="I28" s="114"/>
      <c r="J28" s="114"/>
      <c r="K28" s="114"/>
      <c r="L28" s="114"/>
      <c r="M28" s="123"/>
      <c r="N28" s="123"/>
      <c r="O28" s="123"/>
      <c r="P28" s="123"/>
      <c r="Q28" s="75"/>
      <c r="R28" s="75"/>
      <c r="S28" s="75"/>
      <c r="T28" s="75"/>
      <c r="U28" s="75"/>
      <c r="V28" s="75"/>
      <c r="W28" s="75"/>
      <c r="X28" s="75"/>
      <c r="Y28" s="75"/>
      <c r="Z28" s="75"/>
      <c r="AA28" s="75"/>
      <c r="AB28" s="75"/>
      <c r="AC28" s="75"/>
      <c r="AD28" s="75"/>
      <c r="AE28" s="75"/>
      <c r="AF28" s="189"/>
      <c r="AG28" s="189"/>
      <c r="AH28" s="189"/>
      <c r="AI28" s="189"/>
      <c r="AJ28" s="75"/>
      <c r="AK28" s="75"/>
      <c r="AL28" s="189"/>
      <c r="AM28" s="189"/>
      <c r="AN28" s="189"/>
      <c r="AO28" s="189"/>
      <c r="AP28" s="75"/>
      <c r="AQ28" s="75"/>
      <c r="AR28" s="189"/>
      <c r="AS28" s="189"/>
      <c r="AT28" s="189"/>
      <c r="AU28" s="189"/>
      <c r="AV28" s="75"/>
      <c r="AW28" s="75"/>
      <c r="AX28" s="189"/>
      <c r="AY28" s="189"/>
      <c r="AZ28" s="189"/>
      <c r="BA28" s="189"/>
      <c r="BB28" s="75"/>
      <c r="BC28" s="75"/>
      <c r="BD28" s="189"/>
      <c r="BE28" s="189"/>
      <c r="BF28" s="189"/>
      <c r="BG28" s="189"/>
      <c r="BH28" s="75"/>
      <c r="BI28" s="75"/>
      <c r="BJ28" s="189"/>
      <c r="BK28" s="189"/>
      <c r="BL28" s="189"/>
      <c r="BM28" s="189"/>
      <c r="BN28" s="75"/>
      <c r="BO28" s="75"/>
      <c r="BP28" s="189"/>
      <c r="BQ28" s="189"/>
      <c r="BR28" s="189"/>
      <c r="BS28" s="189"/>
      <c r="BT28" s="75"/>
      <c r="BU28" s="75"/>
      <c r="BV28" s="189"/>
      <c r="BW28" s="189"/>
      <c r="BX28" s="189"/>
      <c r="BY28" s="189"/>
      <c r="BZ28" s="75"/>
      <c r="CA28" s="75"/>
      <c r="CB28" s="189"/>
      <c r="CC28" s="189"/>
      <c r="CD28" s="189"/>
      <c r="CE28" s="189"/>
      <c r="CF28" s="75"/>
      <c r="CG28" s="75"/>
      <c r="CH28" s="75"/>
      <c r="CI28" s="75"/>
      <c r="CJ28" s="75"/>
      <c r="CK28" s="75"/>
      <c r="CL28" s="75"/>
      <c r="CM28" s="75"/>
      <c r="CN28" s="75"/>
      <c r="CO28" s="75"/>
      <c r="CP28" s="75"/>
      <c r="CQ28" s="75"/>
      <c r="CR28" s="75"/>
      <c r="CS28" s="75"/>
      <c r="CT28" s="75"/>
      <c r="CU28" s="75"/>
      <c r="CV28" s="75"/>
      <c r="CW28" s="75"/>
      <c r="CX28" s="75"/>
      <c r="CY28" s="61"/>
      <c r="CZ28" s="53"/>
      <c r="DA28" s="53"/>
      <c r="DB28" s="53"/>
      <c r="DC28" s="53"/>
      <c r="DD28" s="53"/>
      <c r="DE28" s="56"/>
      <c r="DF28" s="53"/>
      <c r="DG28" s="79"/>
    </row>
    <row r="29" spans="1:111" s="65" customFormat="1" ht="6" customHeight="1" x14ac:dyDescent="0.25">
      <c r="A29" s="51"/>
      <c r="B29" s="8"/>
      <c r="C29" s="8"/>
      <c r="D29" s="143"/>
      <c r="E29" s="143"/>
      <c r="F29" s="143"/>
      <c r="G29" s="143"/>
      <c r="H29" s="143"/>
      <c r="I29" s="143"/>
      <c r="J29" s="143"/>
      <c r="K29" s="114"/>
      <c r="L29" s="114"/>
      <c r="M29" s="123"/>
      <c r="N29" s="123"/>
      <c r="O29" s="123"/>
      <c r="P29" s="123"/>
      <c r="Q29" s="75"/>
      <c r="R29" s="75"/>
      <c r="S29" s="75"/>
      <c r="T29" s="75"/>
      <c r="U29" s="75"/>
      <c r="V29" s="75"/>
      <c r="W29" s="75"/>
      <c r="X29" s="75"/>
      <c r="Y29" s="75"/>
      <c r="Z29" s="75"/>
      <c r="AA29" s="75"/>
      <c r="AB29" s="75"/>
      <c r="AC29" s="75"/>
      <c r="AD29" s="75"/>
      <c r="AE29" s="75"/>
      <c r="AF29" s="189"/>
      <c r="AG29" s="189"/>
      <c r="AH29" s="189"/>
      <c r="AI29" s="189"/>
      <c r="AJ29" s="75"/>
      <c r="AK29" s="75"/>
      <c r="AL29" s="189"/>
      <c r="AM29" s="189"/>
      <c r="AN29" s="189"/>
      <c r="AO29" s="189"/>
      <c r="AP29" s="75"/>
      <c r="AQ29" s="75"/>
      <c r="AR29" s="189"/>
      <c r="AS29" s="189"/>
      <c r="AT29" s="189"/>
      <c r="AU29" s="189"/>
      <c r="AV29" s="75"/>
      <c r="AW29" s="75"/>
      <c r="AX29" s="189"/>
      <c r="AY29" s="189"/>
      <c r="AZ29" s="189"/>
      <c r="BA29" s="189"/>
      <c r="BB29" s="75"/>
      <c r="BC29" s="75"/>
      <c r="BD29" s="189"/>
      <c r="BE29" s="189"/>
      <c r="BF29" s="189"/>
      <c r="BG29" s="189"/>
      <c r="BH29" s="75"/>
      <c r="BI29" s="75"/>
      <c r="BJ29" s="189"/>
      <c r="BK29" s="189"/>
      <c r="BL29" s="189"/>
      <c r="BM29" s="189"/>
      <c r="BN29" s="75"/>
      <c r="BO29" s="75"/>
      <c r="BP29" s="189"/>
      <c r="BQ29" s="189"/>
      <c r="BR29" s="189"/>
      <c r="BS29" s="189"/>
      <c r="BT29" s="75"/>
      <c r="BU29" s="75"/>
      <c r="BV29" s="189"/>
      <c r="BW29" s="189"/>
      <c r="BX29" s="189"/>
      <c r="BY29" s="189"/>
      <c r="BZ29" s="75"/>
      <c r="CA29" s="75"/>
      <c r="CB29" s="189"/>
      <c r="CC29" s="189"/>
      <c r="CD29" s="189"/>
      <c r="CE29" s="189"/>
      <c r="CF29" s="75"/>
      <c r="CG29" s="75"/>
      <c r="CH29" s="75"/>
      <c r="CI29" s="75"/>
      <c r="CJ29" s="75"/>
      <c r="CK29" s="75"/>
      <c r="CL29" s="75"/>
      <c r="CM29" s="75"/>
      <c r="CN29" s="75"/>
      <c r="CO29" s="75"/>
      <c r="CP29" s="75"/>
      <c r="CQ29" s="75"/>
      <c r="CR29" s="75"/>
      <c r="CS29" s="75"/>
      <c r="CT29" s="75"/>
      <c r="CU29" s="75"/>
      <c r="CV29" s="75"/>
      <c r="CW29" s="75"/>
      <c r="CX29" s="75"/>
      <c r="CY29" s="162" t="s">
        <v>0</v>
      </c>
      <c r="CZ29" s="152" t="s">
        <v>46</v>
      </c>
      <c r="DA29" s="152"/>
      <c r="DB29" s="152"/>
      <c r="DC29" s="152"/>
      <c r="DD29" s="152"/>
      <c r="DE29" s="113"/>
      <c r="DF29" s="53"/>
      <c r="DG29" s="79"/>
    </row>
    <row r="30" spans="1:111" s="65" customFormat="1" ht="6" customHeight="1" x14ac:dyDescent="0.25">
      <c r="A30" s="51"/>
      <c r="B30" s="8"/>
      <c r="C30" s="8"/>
      <c r="D30" s="144"/>
      <c r="E30" s="144"/>
      <c r="F30" s="144"/>
      <c r="G30" s="144"/>
      <c r="H30" s="144"/>
      <c r="I30" s="144"/>
      <c r="J30" s="144"/>
      <c r="K30" s="114"/>
      <c r="L30" s="114"/>
      <c r="M30" s="123"/>
      <c r="N30" s="123"/>
      <c r="O30" s="123"/>
      <c r="P30" s="123"/>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162"/>
      <c r="CZ30" s="152"/>
      <c r="DA30" s="152"/>
      <c r="DB30" s="152"/>
      <c r="DC30" s="152"/>
      <c r="DD30" s="152"/>
      <c r="DE30" s="113"/>
      <c r="DF30" s="53"/>
      <c r="DG30" s="79"/>
    </row>
    <row r="31" spans="1:111" s="65" customFormat="1" ht="6" customHeight="1" x14ac:dyDescent="0.25">
      <c r="A31" s="51"/>
      <c r="B31" s="8"/>
      <c r="C31" s="8"/>
      <c r="D31" s="93"/>
      <c r="E31" s="93"/>
      <c r="F31" s="93"/>
      <c r="G31" s="93"/>
      <c r="H31" s="114"/>
      <c r="I31" s="114"/>
      <c r="J31" s="114"/>
      <c r="K31" s="114"/>
      <c r="L31" s="114"/>
      <c r="M31" s="123"/>
      <c r="N31" s="123"/>
      <c r="O31" s="123"/>
      <c r="P31" s="123"/>
      <c r="Q31" s="75"/>
      <c r="R31" s="75"/>
      <c r="S31" s="75"/>
      <c r="T31" s="75"/>
      <c r="U31" s="75"/>
      <c r="V31" s="75"/>
      <c r="W31" s="75"/>
      <c r="X31" s="75"/>
      <c r="Y31" s="75"/>
      <c r="Z31" s="75"/>
      <c r="AA31" s="75"/>
      <c r="AB31" s="75"/>
      <c r="AC31" s="189"/>
      <c r="AD31" s="189"/>
      <c r="AE31" s="189"/>
      <c r="AF31" s="189"/>
      <c r="AG31" s="75"/>
      <c r="AH31" s="75"/>
      <c r="AI31" s="189"/>
      <c r="AJ31" s="189"/>
      <c r="AK31" s="189"/>
      <c r="AL31" s="189"/>
      <c r="AM31" s="75"/>
      <c r="AN31" s="75"/>
      <c r="AO31" s="189"/>
      <c r="AP31" s="189"/>
      <c r="AQ31" s="189"/>
      <c r="AR31" s="189"/>
      <c r="AS31" s="75"/>
      <c r="AT31" s="75"/>
      <c r="AU31" s="189"/>
      <c r="AV31" s="189"/>
      <c r="AW31" s="189"/>
      <c r="AX31" s="189"/>
      <c r="AY31" s="75"/>
      <c r="AZ31" s="75"/>
      <c r="BA31" s="189"/>
      <c r="BB31" s="189"/>
      <c r="BC31" s="189"/>
      <c r="BD31" s="189"/>
      <c r="BE31" s="75"/>
      <c r="BF31" s="75"/>
      <c r="BG31" s="189"/>
      <c r="BH31" s="189"/>
      <c r="BI31" s="189"/>
      <c r="BJ31" s="189"/>
      <c r="BK31" s="75"/>
      <c r="BL31" s="75"/>
      <c r="BM31" s="189"/>
      <c r="BN31" s="189"/>
      <c r="BO31" s="189"/>
      <c r="BP31" s="189"/>
      <c r="BQ31" s="75"/>
      <c r="BR31" s="75"/>
      <c r="BS31" s="189"/>
      <c r="BT31" s="189"/>
      <c r="BU31" s="189"/>
      <c r="BV31" s="189"/>
      <c r="BW31" s="75"/>
      <c r="BX31" s="75"/>
      <c r="BY31" s="189"/>
      <c r="BZ31" s="189"/>
      <c r="CA31" s="189"/>
      <c r="CB31" s="189"/>
      <c r="CC31" s="75"/>
      <c r="CD31" s="75"/>
      <c r="CE31" s="189"/>
      <c r="CF31" s="189"/>
      <c r="CG31" s="189"/>
      <c r="CH31" s="189"/>
      <c r="CI31" s="75"/>
      <c r="CJ31" s="75"/>
      <c r="CK31" s="75"/>
      <c r="CL31" s="75"/>
      <c r="CM31" s="75"/>
      <c r="CN31" s="75"/>
      <c r="CO31" s="75"/>
      <c r="CP31" s="75"/>
      <c r="CQ31" s="75"/>
      <c r="CR31" s="75"/>
      <c r="CS31" s="75"/>
      <c r="CT31" s="75"/>
      <c r="CU31" s="75"/>
      <c r="CV31" s="75"/>
      <c r="CW31" s="75"/>
      <c r="CX31" s="75"/>
      <c r="CY31" s="61"/>
      <c r="CZ31" s="53"/>
      <c r="DA31" s="53"/>
      <c r="DB31" s="53"/>
      <c r="DC31" s="53"/>
      <c r="DD31" s="53"/>
      <c r="DE31" s="56"/>
      <c r="DF31" s="53"/>
      <c r="DG31" s="79"/>
    </row>
    <row r="32" spans="1:111" s="65" customFormat="1" ht="6" customHeight="1" x14ac:dyDescent="0.25">
      <c r="A32" s="51"/>
      <c r="B32" s="8"/>
      <c r="C32" s="8"/>
      <c r="D32" s="143"/>
      <c r="E32" s="143"/>
      <c r="F32" s="143"/>
      <c r="G32" s="143"/>
      <c r="H32" s="143"/>
      <c r="I32" s="143"/>
      <c r="J32" s="143"/>
      <c r="K32" s="114"/>
      <c r="L32" s="114"/>
      <c r="M32" s="123"/>
      <c r="N32" s="123"/>
      <c r="O32" s="123"/>
      <c r="P32" s="123"/>
      <c r="Q32" s="75"/>
      <c r="R32" s="75"/>
      <c r="S32" s="75"/>
      <c r="T32" s="75"/>
      <c r="U32" s="75"/>
      <c r="V32" s="75"/>
      <c r="W32" s="75"/>
      <c r="X32" s="75"/>
      <c r="Y32" s="75"/>
      <c r="Z32" s="75"/>
      <c r="AA32" s="75"/>
      <c r="AB32" s="75"/>
      <c r="AC32" s="189"/>
      <c r="AD32" s="189"/>
      <c r="AE32" s="189"/>
      <c r="AF32" s="189"/>
      <c r="AG32" s="75"/>
      <c r="AH32" s="75"/>
      <c r="AI32" s="189"/>
      <c r="AJ32" s="189"/>
      <c r="AK32" s="189"/>
      <c r="AL32" s="189"/>
      <c r="AM32" s="75"/>
      <c r="AN32" s="75"/>
      <c r="AO32" s="189"/>
      <c r="AP32" s="189"/>
      <c r="AQ32" s="189"/>
      <c r="AR32" s="189"/>
      <c r="AS32" s="75"/>
      <c r="AT32" s="75"/>
      <c r="AU32" s="189"/>
      <c r="AV32" s="189"/>
      <c r="AW32" s="189"/>
      <c r="AX32" s="189"/>
      <c r="AY32" s="75"/>
      <c r="AZ32" s="75"/>
      <c r="BA32" s="189"/>
      <c r="BB32" s="189"/>
      <c r="BC32" s="189"/>
      <c r="BD32" s="189"/>
      <c r="BE32" s="75"/>
      <c r="BF32" s="75"/>
      <c r="BG32" s="189"/>
      <c r="BH32" s="189"/>
      <c r="BI32" s="189"/>
      <c r="BJ32" s="189"/>
      <c r="BK32" s="75"/>
      <c r="BL32" s="75"/>
      <c r="BM32" s="189"/>
      <c r="BN32" s="189"/>
      <c r="BO32" s="189"/>
      <c r="BP32" s="189"/>
      <c r="BQ32" s="75"/>
      <c r="BR32" s="75"/>
      <c r="BS32" s="189"/>
      <c r="BT32" s="189"/>
      <c r="BU32" s="189"/>
      <c r="BV32" s="189"/>
      <c r="BW32" s="75"/>
      <c r="BX32" s="75"/>
      <c r="BY32" s="189"/>
      <c r="BZ32" s="189"/>
      <c r="CA32" s="189"/>
      <c r="CB32" s="189"/>
      <c r="CC32" s="75"/>
      <c r="CD32" s="75"/>
      <c r="CE32" s="189"/>
      <c r="CF32" s="189"/>
      <c r="CG32" s="189"/>
      <c r="CH32" s="189"/>
      <c r="CI32" s="75"/>
      <c r="CJ32" s="75"/>
      <c r="CK32" s="75"/>
      <c r="CL32" s="75"/>
      <c r="CM32" s="75"/>
      <c r="CN32" s="75"/>
      <c r="CO32" s="75"/>
      <c r="CP32" s="75"/>
      <c r="CQ32" s="75"/>
      <c r="CR32" s="75"/>
      <c r="CS32" s="75"/>
      <c r="CT32" s="75"/>
      <c r="CU32" s="75"/>
      <c r="CV32" s="75"/>
      <c r="CW32" s="75"/>
      <c r="CX32" s="75"/>
      <c r="CY32" s="162" t="s">
        <v>5</v>
      </c>
      <c r="CZ32" s="152" t="s">
        <v>47</v>
      </c>
      <c r="DA32" s="152"/>
      <c r="DB32" s="152"/>
      <c r="DC32" s="152"/>
      <c r="DD32" s="152"/>
      <c r="DE32" s="113"/>
      <c r="DF32" s="53"/>
      <c r="DG32" s="79"/>
    </row>
    <row r="33" spans="1:111" s="65" customFormat="1" ht="6" customHeight="1" x14ac:dyDescent="0.25">
      <c r="A33" s="51"/>
      <c r="B33" s="8"/>
      <c r="C33" s="8"/>
      <c r="D33" s="144"/>
      <c r="E33" s="144"/>
      <c r="F33" s="144"/>
      <c r="G33" s="144"/>
      <c r="H33" s="144"/>
      <c r="I33" s="144"/>
      <c r="J33" s="144"/>
      <c r="K33" s="114"/>
      <c r="L33" s="114"/>
      <c r="M33" s="123"/>
      <c r="N33" s="123"/>
      <c r="O33" s="123"/>
      <c r="P33" s="123"/>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75"/>
      <c r="CU33" s="75"/>
      <c r="CV33" s="75"/>
      <c r="CW33" s="75"/>
      <c r="CX33" s="75"/>
      <c r="CY33" s="162"/>
      <c r="CZ33" s="152"/>
      <c r="DA33" s="152"/>
      <c r="DB33" s="152"/>
      <c r="DC33" s="152"/>
      <c r="DD33" s="152"/>
      <c r="DE33" s="113"/>
      <c r="DF33" s="53"/>
      <c r="DG33" s="79"/>
    </row>
    <row r="34" spans="1:111" s="65" customFormat="1" ht="6" customHeight="1" x14ac:dyDescent="0.25">
      <c r="A34" s="114"/>
      <c r="B34" s="114"/>
      <c r="C34" s="114"/>
      <c r="D34" s="114"/>
      <c r="E34" s="114"/>
      <c r="F34" s="114"/>
      <c r="G34" s="114"/>
      <c r="H34" s="114"/>
      <c r="I34" s="114"/>
      <c r="J34" s="114"/>
      <c r="K34" s="114"/>
      <c r="L34" s="114"/>
      <c r="M34" s="123"/>
      <c r="N34" s="123"/>
      <c r="O34" s="123"/>
      <c r="P34" s="123"/>
      <c r="Q34" s="75"/>
      <c r="R34" s="75"/>
      <c r="S34" s="75"/>
      <c r="T34" s="75"/>
      <c r="U34" s="75"/>
      <c r="V34" s="75"/>
      <c r="W34" s="75"/>
      <c r="X34" s="75"/>
      <c r="Y34" s="75"/>
      <c r="Z34" s="189"/>
      <c r="AA34" s="189"/>
      <c r="AB34" s="189"/>
      <c r="AC34" s="189"/>
      <c r="AD34" s="75"/>
      <c r="AE34" s="75"/>
      <c r="AF34" s="189"/>
      <c r="AG34" s="189"/>
      <c r="AH34" s="189"/>
      <c r="AI34" s="189"/>
      <c r="AJ34" s="75"/>
      <c r="AK34" s="75"/>
      <c r="AL34" s="189"/>
      <c r="AM34" s="189"/>
      <c r="AN34" s="189"/>
      <c r="AO34" s="189"/>
      <c r="AP34" s="75"/>
      <c r="AQ34" s="75"/>
      <c r="AR34" s="189"/>
      <c r="AS34" s="189"/>
      <c r="AT34" s="189"/>
      <c r="AU34" s="189"/>
      <c r="AV34" s="75"/>
      <c r="AW34" s="75"/>
      <c r="AX34" s="189"/>
      <c r="AY34" s="189"/>
      <c r="AZ34" s="189"/>
      <c r="BA34" s="189"/>
      <c r="BB34" s="75"/>
      <c r="BC34" s="75"/>
      <c r="BD34" s="189"/>
      <c r="BE34" s="189"/>
      <c r="BF34" s="189"/>
      <c r="BG34" s="189"/>
      <c r="BH34" s="75"/>
      <c r="BI34" s="75"/>
      <c r="BJ34" s="189"/>
      <c r="BK34" s="189"/>
      <c r="BL34" s="189"/>
      <c r="BM34" s="189"/>
      <c r="BN34" s="75"/>
      <c r="BO34" s="75"/>
      <c r="BP34" s="189"/>
      <c r="BQ34" s="189"/>
      <c r="BR34" s="189"/>
      <c r="BS34" s="189"/>
      <c r="BT34" s="75"/>
      <c r="BU34" s="75"/>
      <c r="BV34" s="189"/>
      <c r="BW34" s="189"/>
      <c r="BX34" s="189"/>
      <c r="BY34" s="189"/>
      <c r="BZ34" s="75"/>
      <c r="CA34" s="75"/>
      <c r="CB34" s="189"/>
      <c r="CC34" s="189"/>
      <c r="CD34" s="189"/>
      <c r="CE34" s="189"/>
      <c r="CF34" s="75"/>
      <c r="CG34" s="75"/>
      <c r="CH34" s="189"/>
      <c r="CI34" s="189"/>
      <c r="CJ34" s="189"/>
      <c r="CK34" s="189"/>
      <c r="CL34" s="75"/>
      <c r="CM34" s="75"/>
      <c r="CN34" s="75"/>
      <c r="CO34" s="75"/>
      <c r="CP34" s="75"/>
      <c r="CQ34" s="75"/>
      <c r="CR34" s="75"/>
      <c r="CS34" s="75"/>
      <c r="CT34" s="75"/>
      <c r="CU34" s="75"/>
      <c r="CV34" s="75"/>
      <c r="CW34" s="75"/>
      <c r="CX34" s="75"/>
      <c r="CY34" s="62"/>
      <c r="CZ34" s="63"/>
      <c r="DA34" s="63"/>
      <c r="DB34" s="63"/>
      <c r="DC34" s="63"/>
      <c r="DD34" s="63"/>
      <c r="DE34" s="64"/>
      <c r="DF34" s="53"/>
      <c r="DG34" s="79"/>
    </row>
    <row r="35" spans="1:111" s="65" customFormat="1" ht="6" customHeight="1" x14ac:dyDescent="0.25">
      <c r="A35" s="114"/>
      <c r="B35" s="114"/>
      <c r="C35" s="114"/>
      <c r="D35" s="114"/>
      <c r="E35" s="114"/>
      <c r="F35" s="114"/>
      <c r="G35" s="114"/>
      <c r="H35" s="114"/>
      <c r="I35" s="114"/>
      <c r="J35" s="114"/>
      <c r="K35" s="114"/>
      <c r="L35" s="114"/>
      <c r="M35" s="123"/>
      <c r="N35" s="123"/>
      <c r="O35" s="123"/>
      <c r="P35" s="123"/>
      <c r="Q35" s="75"/>
      <c r="R35" s="75"/>
      <c r="S35" s="75"/>
      <c r="T35" s="75"/>
      <c r="U35" s="75"/>
      <c r="V35" s="75"/>
      <c r="W35" s="75"/>
      <c r="X35" s="75"/>
      <c r="Y35" s="75"/>
      <c r="Z35" s="189"/>
      <c r="AA35" s="189"/>
      <c r="AB35" s="189"/>
      <c r="AC35" s="189"/>
      <c r="AD35" s="75"/>
      <c r="AE35" s="75"/>
      <c r="AF35" s="189"/>
      <c r="AG35" s="189"/>
      <c r="AH35" s="189"/>
      <c r="AI35" s="189"/>
      <c r="AJ35" s="75"/>
      <c r="AK35" s="75"/>
      <c r="AL35" s="189"/>
      <c r="AM35" s="189"/>
      <c r="AN35" s="189"/>
      <c r="AO35" s="189"/>
      <c r="AP35" s="75"/>
      <c r="AQ35" s="75"/>
      <c r="AR35" s="189"/>
      <c r="AS35" s="189"/>
      <c r="AT35" s="189"/>
      <c r="AU35" s="189"/>
      <c r="AV35" s="75"/>
      <c r="AW35" s="75"/>
      <c r="AX35" s="189"/>
      <c r="AY35" s="189"/>
      <c r="AZ35" s="189"/>
      <c r="BA35" s="189"/>
      <c r="BB35" s="75"/>
      <c r="BC35" s="75"/>
      <c r="BD35" s="189"/>
      <c r="BE35" s="189"/>
      <c r="BF35" s="189"/>
      <c r="BG35" s="189"/>
      <c r="BH35" s="75"/>
      <c r="BI35" s="75"/>
      <c r="BJ35" s="189"/>
      <c r="BK35" s="189"/>
      <c r="BL35" s="189"/>
      <c r="BM35" s="189"/>
      <c r="BN35" s="75"/>
      <c r="BO35" s="75"/>
      <c r="BP35" s="189"/>
      <c r="BQ35" s="189"/>
      <c r="BR35" s="189"/>
      <c r="BS35" s="189"/>
      <c r="BT35" s="75"/>
      <c r="BU35" s="75"/>
      <c r="BV35" s="189"/>
      <c r="BW35" s="189"/>
      <c r="BX35" s="189"/>
      <c r="BY35" s="189"/>
      <c r="BZ35" s="75"/>
      <c r="CA35" s="75"/>
      <c r="CB35" s="189"/>
      <c r="CC35" s="189"/>
      <c r="CD35" s="189"/>
      <c r="CE35" s="189"/>
      <c r="CF35" s="75"/>
      <c r="CG35" s="75"/>
      <c r="CH35" s="189"/>
      <c r="CI35" s="189"/>
      <c r="CJ35" s="189"/>
      <c r="CK35" s="189"/>
      <c r="CL35" s="75"/>
      <c r="CM35" s="75"/>
      <c r="CN35" s="75"/>
      <c r="CO35" s="75"/>
      <c r="CP35" s="75"/>
      <c r="CQ35" s="75"/>
      <c r="CR35" s="75"/>
      <c r="CS35" s="75"/>
      <c r="CT35" s="75"/>
      <c r="CU35" s="75"/>
      <c r="CV35" s="75"/>
      <c r="CW35" s="75"/>
      <c r="CX35" s="75"/>
      <c r="CY35" s="123"/>
      <c r="CZ35" s="114"/>
      <c r="DA35" s="114"/>
      <c r="DB35" s="114"/>
      <c r="DC35" s="114"/>
      <c r="DD35" s="114"/>
      <c r="DE35" s="114"/>
      <c r="DF35" s="53"/>
      <c r="DG35" s="79"/>
    </row>
    <row r="36" spans="1:111" s="65" customFormat="1" ht="6" customHeight="1" x14ac:dyDescent="0.25">
      <c r="A36" s="114"/>
      <c r="B36" s="114"/>
      <c r="C36" s="114"/>
      <c r="D36" s="114"/>
      <c r="E36" s="114"/>
      <c r="F36" s="114"/>
      <c r="G36" s="114"/>
      <c r="H36" s="123"/>
      <c r="I36" s="123"/>
      <c r="J36" s="123"/>
      <c r="K36" s="123"/>
      <c r="L36" s="123"/>
      <c r="M36" s="123"/>
      <c r="N36" s="123"/>
      <c r="O36" s="123"/>
      <c r="P36" s="123"/>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123"/>
      <c r="CZ36" s="114"/>
      <c r="DA36" s="114"/>
      <c r="DB36" s="114"/>
      <c r="DC36" s="114"/>
      <c r="DD36" s="114"/>
      <c r="DE36" s="114"/>
      <c r="DF36" s="51"/>
      <c r="DG36" s="79"/>
    </row>
    <row r="37" spans="1:111" s="65" customFormat="1" ht="6" customHeight="1" x14ac:dyDescent="0.25">
      <c r="A37" s="114"/>
      <c r="B37" s="114"/>
      <c r="C37" s="114"/>
      <c r="D37" s="114"/>
      <c r="E37" s="114"/>
      <c r="F37" s="114"/>
      <c r="G37" s="114"/>
      <c r="H37" s="123"/>
      <c r="I37" s="123"/>
      <c r="J37" s="123"/>
      <c r="K37" s="123"/>
      <c r="L37" s="123"/>
      <c r="M37" s="123"/>
      <c r="N37" s="123"/>
      <c r="O37" s="123"/>
      <c r="P37" s="123"/>
      <c r="Q37" s="75"/>
      <c r="R37" s="75"/>
      <c r="S37" s="75"/>
      <c r="T37" s="75"/>
      <c r="U37" s="75"/>
      <c r="V37" s="75"/>
      <c r="W37" s="189"/>
      <c r="X37" s="189"/>
      <c r="Y37" s="189"/>
      <c r="Z37" s="189"/>
      <c r="AA37" s="75"/>
      <c r="AB37" s="75"/>
      <c r="AC37" s="189"/>
      <c r="AD37" s="189"/>
      <c r="AE37" s="189"/>
      <c r="AF37" s="189"/>
      <c r="AG37" s="75"/>
      <c r="AH37" s="75"/>
      <c r="AI37" s="189"/>
      <c r="AJ37" s="189"/>
      <c r="AK37" s="189"/>
      <c r="AL37" s="189"/>
      <c r="AM37" s="75"/>
      <c r="AN37" s="75"/>
      <c r="AO37" s="189"/>
      <c r="AP37" s="189"/>
      <c r="AQ37" s="189"/>
      <c r="AR37" s="189"/>
      <c r="AS37" s="75"/>
      <c r="AT37" s="75"/>
      <c r="AU37" s="189"/>
      <c r="AV37" s="189"/>
      <c r="AW37" s="189"/>
      <c r="AX37" s="189"/>
      <c r="AY37" s="75"/>
      <c r="AZ37" s="75"/>
      <c r="BA37" s="189"/>
      <c r="BB37" s="189"/>
      <c r="BC37" s="189"/>
      <c r="BD37" s="189"/>
      <c r="BE37" s="75"/>
      <c r="BF37" s="75"/>
      <c r="BG37" s="189"/>
      <c r="BH37" s="189"/>
      <c r="BI37" s="189"/>
      <c r="BJ37" s="189"/>
      <c r="BK37" s="75"/>
      <c r="BL37" s="75"/>
      <c r="BM37" s="189"/>
      <c r="BN37" s="189"/>
      <c r="BO37" s="189"/>
      <c r="BP37" s="189"/>
      <c r="BQ37" s="75"/>
      <c r="BR37" s="75"/>
      <c r="BS37" s="189"/>
      <c r="BT37" s="189"/>
      <c r="BU37" s="189"/>
      <c r="BV37" s="189"/>
      <c r="BW37" s="75"/>
      <c r="BX37" s="75"/>
      <c r="BY37" s="189"/>
      <c r="BZ37" s="189"/>
      <c r="CA37" s="189"/>
      <c r="CB37" s="189"/>
      <c r="CC37" s="75"/>
      <c r="CD37" s="75"/>
      <c r="CE37" s="189"/>
      <c r="CF37" s="189"/>
      <c r="CG37" s="189"/>
      <c r="CH37" s="189"/>
      <c r="CI37" s="75"/>
      <c r="CJ37" s="75"/>
      <c r="CK37" s="189"/>
      <c r="CL37" s="189"/>
      <c r="CM37" s="189"/>
      <c r="CN37" s="189"/>
      <c r="CO37" s="75"/>
      <c r="CP37" s="75"/>
      <c r="CQ37" s="75"/>
      <c r="CR37" s="75"/>
      <c r="CS37" s="75"/>
      <c r="CT37" s="75"/>
      <c r="CU37" s="75"/>
      <c r="CV37" s="75"/>
      <c r="CW37" s="75"/>
      <c r="CX37" s="75"/>
      <c r="CY37" s="123"/>
      <c r="CZ37" s="114"/>
      <c r="DA37" s="114"/>
      <c r="DB37" s="114"/>
      <c r="DC37" s="114"/>
      <c r="DD37" s="114"/>
      <c r="DE37" s="114"/>
      <c r="DF37" s="51"/>
      <c r="DG37" s="79"/>
    </row>
    <row r="38" spans="1:111" s="65" customFormat="1" ht="6" customHeight="1" x14ac:dyDescent="0.25">
      <c r="A38" s="114"/>
      <c r="B38" s="114"/>
      <c r="C38" s="114"/>
      <c r="D38" s="114"/>
      <c r="E38" s="114"/>
      <c r="F38" s="114"/>
      <c r="G38" s="114"/>
      <c r="H38" s="123"/>
      <c r="I38" s="123"/>
      <c r="J38" s="123"/>
      <c r="K38" s="123"/>
      <c r="L38" s="123"/>
      <c r="M38" s="123"/>
      <c r="N38" s="123"/>
      <c r="O38" s="123"/>
      <c r="P38" s="75"/>
      <c r="Q38" s="75"/>
      <c r="R38" s="75"/>
      <c r="S38" s="75"/>
      <c r="T38" s="75"/>
      <c r="U38" s="75"/>
      <c r="V38" s="75"/>
      <c r="W38" s="189"/>
      <c r="X38" s="189"/>
      <c r="Y38" s="189"/>
      <c r="Z38" s="189"/>
      <c r="AA38" s="75"/>
      <c r="AB38" s="75"/>
      <c r="AC38" s="189"/>
      <c r="AD38" s="189"/>
      <c r="AE38" s="189"/>
      <c r="AF38" s="189"/>
      <c r="AG38" s="75"/>
      <c r="AH38" s="75"/>
      <c r="AI38" s="189"/>
      <c r="AJ38" s="189"/>
      <c r="AK38" s="189"/>
      <c r="AL38" s="189"/>
      <c r="AM38" s="75"/>
      <c r="AN38" s="75"/>
      <c r="AO38" s="189"/>
      <c r="AP38" s="189"/>
      <c r="AQ38" s="189"/>
      <c r="AR38" s="189"/>
      <c r="AS38" s="75"/>
      <c r="AT38" s="75"/>
      <c r="AU38" s="189"/>
      <c r="AV38" s="189"/>
      <c r="AW38" s="189"/>
      <c r="AX38" s="189"/>
      <c r="AY38" s="75"/>
      <c r="AZ38" s="75"/>
      <c r="BA38" s="189"/>
      <c r="BB38" s="189"/>
      <c r="BC38" s="189"/>
      <c r="BD38" s="189"/>
      <c r="BE38" s="75"/>
      <c r="BF38" s="75"/>
      <c r="BG38" s="189"/>
      <c r="BH38" s="189"/>
      <c r="BI38" s="189"/>
      <c r="BJ38" s="189"/>
      <c r="BK38" s="75"/>
      <c r="BL38" s="75"/>
      <c r="BM38" s="189"/>
      <c r="BN38" s="189"/>
      <c r="BO38" s="189"/>
      <c r="BP38" s="189"/>
      <c r="BQ38" s="75"/>
      <c r="BR38" s="75"/>
      <c r="BS38" s="189"/>
      <c r="BT38" s="189"/>
      <c r="BU38" s="189"/>
      <c r="BV38" s="189"/>
      <c r="BW38" s="75"/>
      <c r="BX38" s="75"/>
      <c r="BY38" s="189"/>
      <c r="BZ38" s="189"/>
      <c r="CA38" s="189"/>
      <c r="CB38" s="189"/>
      <c r="CC38" s="124"/>
      <c r="CD38" s="75"/>
      <c r="CE38" s="189"/>
      <c r="CF38" s="189"/>
      <c r="CG38" s="189"/>
      <c r="CH38" s="189"/>
      <c r="CI38" s="75"/>
      <c r="CJ38" s="75"/>
      <c r="CK38" s="189"/>
      <c r="CL38" s="189"/>
      <c r="CM38" s="189"/>
      <c r="CN38" s="189"/>
      <c r="CO38" s="75"/>
      <c r="CP38" s="75"/>
      <c r="CQ38" s="75"/>
      <c r="CR38" s="75"/>
      <c r="CS38" s="75"/>
      <c r="CT38" s="75"/>
      <c r="CU38" s="75"/>
      <c r="CV38" s="75"/>
      <c r="CW38" s="75"/>
      <c r="CX38" s="75"/>
      <c r="CY38" s="123"/>
      <c r="CZ38" s="114"/>
      <c r="DA38" s="114"/>
      <c r="DB38" s="114"/>
      <c r="DC38" s="114"/>
      <c r="DD38" s="114"/>
      <c r="DE38" s="51"/>
      <c r="DF38" s="51"/>
    </row>
    <row r="39" spans="1:111" s="65" customFormat="1" ht="6" customHeight="1" x14ac:dyDescent="0.25">
      <c r="A39" s="114"/>
      <c r="B39" s="114"/>
      <c r="C39" s="114"/>
      <c r="D39" s="114"/>
      <c r="E39" s="114"/>
      <c r="F39" s="114"/>
      <c r="G39" s="114"/>
      <c r="H39" s="123"/>
      <c r="I39" s="123"/>
      <c r="J39" s="123"/>
      <c r="K39" s="123"/>
      <c r="L39" s="123"/>
      <c r="M39" s="123"/>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5"/>
      <c r="CG39" s="75"/>
      <c r="CH39" s="75"/>
      <c r="CI39" s="75"/>
      <c r="CJ39" s="75"/>
      <c r="CK39" s="75"/>
      <c r="CL39" s="75"/>
      <c r="CM39" s="75"/>
      <c r="CN39" s="75"/>
      <c r="CO39" s="75"/>
      <c r="CP39" s="75"/>
      <c r="CQ39" s="75"/>
      <c r="CR39" s="75"/>
      <c r="CS39" s="75"/>
      <c r="CT39" s="75"/>
      <c r="CU39" s="75"/>
      <c r="CV39" s="75"/>
      <c r="CW39" s="75"/>
      <c r="CX39" s="75"/>
      <c r="CY39" s="123"/>
      <c r="CZ39" s="114"/>
      <c r="DA39" s="114"/>
      <c r="DB39" s="114"/>
      <c r="DC39" s="114"/>
      <c r="DD39" s="114"/>
      <c r="DE39" s="51"/>
      <c r="DF39" s="51"/>
    </row>
    <row r="40" spans="1:111" s="65" customFormat="1" ht="6" customHeight="1" x14ac:dyDescent="0.25">
      <c r="A40" s="114"/>
      <c r="B40" s="114"/>
      <c r="C40" s="114"/>
      <c r="D40" s="114"/>
      <c r="E40" s="114"/>
      <c r="F40" s="114"/>
      <c r="G40" s="114"/>
      <c r="H40" s="123"/>
      <c r="I40" s="123"/>
      <c r="J40" s="123"/>
      <c r="K40" s="123"/>
      <c r="L40" s="123"/>
      <c r="M40" s="123"/>
      <c r="N40" s="75"/>
      <c r="O40" s="75"/>
      <c r="P40" s="75"/>
      <c r="Q40" s="75"/>
      <c r="R40" s="75"/>
      <c r="S40" s="75"/>
      <c r="T40" s="189"/>
      <c r="U40" s="189"/>
      <c r="V40" s="189"/>
      <c r="W40" s="189"/>
      <c r="X40" s="75"/>
      <c r="Y40" s="75"/>
      <c r="Z40" s="189"/>
      <c r="AA40" s="189"/>
      <c r="AB40" s="189"/>
      <c r="AC40" s="189"/>
      <c r="AD40" s="75"/>
      <c r="AE40" s="75"/>
      <c r="AF40" s="189"/>
      <c r="AG40" s="189"/>
      <c r="AH40" s="189"/>
      <c r="AI40" s="189"/>
      <c r="AJ40" s="75"/>
      <c r="AK40" s="75"/>
      <c r="AL40" s="189"/>
      <c r="AM40" s="189"/>
      <c r="AN40" s="189"/>
      <c r="AO40" s="189"/>
      <c r="AP40" s="75"/>
      <c r="AQ40" s="75"/>
      <c r="AR40" s="189"/>
      <c r="AS40" s="189"/>
      <c r="AT40" s="189"/>
      <c r="AU40" s="189"/>
      <c r="AV40" s="75"/>
      <c r="AW40" s="75"/>
      <c r="AX40" s="189"/>
      <c r="AY40" s="189"/>
      <c r="AZ40" s="189"/>
      <c r="BA40" s="189"/>
      <c r="BB40" s="75"/>
      <c r="BC40" s="75"/>
      <c r="BD40" s="189"/>
      <c r="BE40" s="189"/>
      <c r="BF40" s="189"/>
      <c r="BG40" s="189"/>
      <c r="BH40" s="75"/>
      <c r="BI40" s="75"/>
      <c r="BJ40" s="189"/>
      <c r="BK40" s="189"/>
      <c r="BL40" s="189"/>
      <c r="BM40" s="189"/>
      <c r="BN40" s="75"/>
      <c r="BO40" s="75"/>
      <c r="BP40" s="189"/>
      <c r="BQ40" s="189"/>
      <c r="BR40" s="189"/>
      <c r="BS40" s="189"/>
      <c r="BT40" s="75"/>
      <c r="BU40" s="75"/>
      <c r="BV40" s="189"/>
      <c r="BW40" s="189"/>
      <c r="BX40" s="189"/>
      <c r="BY40" s="189"/>
      <c r="BZ40" s="75"/>
      <c r="CA40" s="75"/>
      <c r="CB40" s="189"/>
      <c r="CC40" s="189"/>
      <c r="CD40" s="189"/>
      <c r="CE40" s="189"/>
      <c r="CF40" s="75"/>
      <c r="CG40" s="75"/>
      <c r="CH40" s="189"/>
      <c r="CI40" s="189"/>
      <c r="CJ40" s="189"/>
      <c r="CK40" s="189"/>
      <c r="CL40" s="75"/>
      <c r="CM40" s="75"/>
      <c r="CN40" s="189"/>
      <c r="CO40" s="189"/>
      <c r="CP40" s="189"/>
      <c r="CQ40" s="189"/>
      <c r="CR40" s="75"/>
      <c r="CS40" s="75"/>
      <c r="CT40" s="75"/>
      <c r="CU40" s="75"/>
      <c r="CV40" s="75"/>
      <c r="CW40" s="75"/>
      <c r="CX40" s="75"/>
      <c r="CY40" s="53"/>
      <c r="CZ40" s="51"/>
      <c r="DA40" s="51"/>
      <c r="DB40" s="51"/>
      <c r="DC40" s="51"/>
      <c r="DD40" s="51"/>
      <c r="DE40" s="51"/>
      <c r="DF40" s="51"/>
    </row>
    <row r="41" spans="1:111" s="65" customFormat="1" ht="6" customHeight="1" x14ac:dyDescent="0.25">
      <c r="A41" s="51"/>
      <c r="B41" s="114"/>
      <c r="C41" s="114"/>
      <c r="D41" s="114"/>
      <c r="E41" s="114"/>
      <c r="F41" s="114"/>
      <c r="G41" s="114"/>
      <c r="H41" s="123"/>
      <c r="I41" s="123"/>
      <c r="J41" s="123"/>
      <c r="K41" s="123"/>
      <c r="L41" s="123"/>
      <c r="M41" s="123"/>
      <c r="N41" s="75"/>
      <c r="O41" s="75"/>
      <c r="P41" s="75"/>
      <c r="Q41" s="75"/>
      <c r="R41" s="75"/>
      <c r="S41" s="75"/>
      <c r="T41" s="189"/>
      <c r="U41" s="189"/>
      <c r="V41" s="189"/>
      <c r="W41" s="189"/>
      <c r="X41" s="75"/>
      <c r="Y41" s="75"/>
      <c r="Z41" s="189"/>
      <c r="AA41" s="189"/>
      <c r="AB41" s="189"/>
      <c r="AC41" s="189"/>
      <c r="AD41" s="75"/>
      <c r="AE41" s="75"/>
      <c r="AF41" s="189"/>
      <c r="AG41" s="189"/>
      <c r="AH41" s="189"/>
      <c r="AI41" s="189"/>
      <c r="AJ41" s="75"/>
      <c r="AK41" s="75"/>
      <c r="AL41" s="189"/>
      <c r="AM41" s="189"/>
      <c r="AN41" s="189"/>
      <c r="AO41" s="189"/>
      <c r="AP41" s="75"/>
      <c r="AQ41" s="75"/>
      <c r="AR41" s="189"/>
      <c r="AS41" s="189"/>
      <c r="AT41" s="189"/>
      <c r="AU41" s="189"/>
      <c r="AV41" s="75"/>
      <c r="AW41" s="75"/>
      <c r="AX41" s="189"/>
      <c r="AY41" s="189"/>
      <c r="AZ41" s="189"/>
      <c r="BA41" s="189"/>
      <c r="BB41" s="75"/>
      <c r="BC41" s="75"/>
      <c r="BD41" s="189"/>
      <c r="BE41" s="189"/>
      <c r="BF41" s="189"/>
      <c r="BG41" s="189"/>
      <c r="BH41" s="75"/>
      <c r="BI41" s="75"/>
      <c r="BJ41" s="189"/>
      <c r="BK41" s="189"/>
      <c r="BL41" s="189"/>
      <c r="BM41" s="189"/>
      <c r="BN41" s="75"/>
      <c r="BO41" s="75"/>
      <c r="BP41" s="189"/>
      <c r="BQ41" s="189"/>
      <c r="BR41" s="189"/>
      <c r="BS41" s="189"/>
      <c r="BT41" s="75"/>
      <c r="BU41" s="75"/>
      <c r="BV41" s="189"/>
      <c r="BW41" s="189"/>
      <c r="BX41" s="189"/>
      <c r="BY41" s="189"/>
      <c r="BZ41" s="75"/>
      <c r="CA41" s="75"/>
      <c r="CB41" s="189"/>
      <c r="CC41" s="189"/>
      <c r="CD41" s="189"/>
      <c r="CE41" s="189"/>
      <c r="CF41" s="75"/>
      <c r="CG41" s="75"/>
      <c r="CH41" s="189"/>
      <c r="CI41" s="189"/>
      <c r="CJ41" s="189"/>
      <c r="CK41" s="189"/>
      <c r="CL41" s="75"/>
      <c r="CM41" s="75"/>
      <c r="CN41" s="189"/>
      <c r="CO41" s="189"/>
      <c r="CP41" s="189"/>
      <c r="CQ41" s="189"/>
      <c r="CR41" s="75"/>
      <c r="CS41" s="75"/>
      <c r="CT41" s="75"/>
      <c r="CU41" s="75"/>
      <c r="CV41" s="75"/>
      <c r="CW41" s="75"/>
      <c r="CX41" s="75"/>
      <c r="CY41" s="53"/>
      <c r="CZ41" s="51"/>
      <c r="DA41" s="51"/>
      <c r="DB41" s="51"/>
      <c r="DC41" s="51"/>
      <c r="DD41" s="51"/>
      <c r="DE41" s="51"/>
      <c r="DF41" s="51"/>
    </row>
    <row r="42" spans="1:111" s="65" customFormat="1" ht="6" customHeight="1" x14ac:dyDescent="0.25">
      <c r="A42" s="51"/>
      <c r="B42" s="114"/>
      <c r="C42" s="114"/>
      <c r="D42" s="114"/>
      <c r="E42" s="114"/>
      <c r="F42" s="114"/>
      <c r="G42" s="114"/>
      <c r="H42" s="123"/>
      <c r="I42" s="123"/>
      <c r="J42" s="123"/>
      <c r="K42" s="123"/>
      <c r="L42" s="123"/>
      <c r="M42" s="123"/>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53"/>
      <c r="CZ42" s="51"/>
      <c r="DA42" s="51"/>
      <c r="DB42" s="51"/>
      <c r="DC42" s="51"/>
      <c r="DD42" s="51"/>
      <c r="DE42" s="51"/>
      <c r="DF42" s="51"/>
    </row>
    <row r="43" spans="1:111" s="65" customFormat="1" ht="6" customHeight="1" x14ac:dyDescent="0.25">
      <c r="A43" s="51"/>
      <c r="B43" s="51"/>
      <c r="C43" s="51"/>
      <c r="D43" s="52"/>
      <c r="E43" s="114"/>
      <c r="F43" s="114"/>
      <c r="G43" s="114"/>
      <c r="H43" s="123"/>
      <c r="I43" s="123"/>
      <c r="J43" s="123"/>
      <c r="K43" s="123"/>
      <c r="L43" s="123"/>
      <c r="M43" s="123"/>
      <c r="N43" s="75"/>
      <c r="O43" s="75"/>
      <c r="P43" s="75"/>
      <c r="Q43" s="189"/>
      <c r="R43" s="189"/>
      <c r="S43" s="189"/>
      <c r="T43" s="189"/>
      <c r="U43" s="75"/>
      <c r="V43" s="75"/>
      <c r="W43" s="189"/>
      <c r="X43" s="189"/>
      <c r="Y43" s="189"/>
      <c r="Z43" s="189"/>
      <c r="AA43" s="75"/>
      <c r="AB43" s="75"/>
      <c r="AC43" s="189"/>
      <c r="AD43" s="189"/>
      <c r="AE43" s="189"/>
      <c r="AF43" s="189"/>
      <c r="AG43" s="75"/>
      <c r="AH43" s="75"/>
      <c r="AI43" s="189"/>
      <c r="AJ43" s="189"/>
      <c r="AK43" s="189"/>
      <c r="AL43" s="189"/>
      <c r="AM43" s="75"/>
      <c r="AN43" s="75"/>
      <c r="AO43" s="189"/>
      <c r="AP43" s="189"/>
      <c r="AQ43" s="189"/>
      <c r="AR43" s="189"/>
      <c r="AS43" s="75"/>
      <c r="AT43" s="75"/>
      <c r="AU43" s="189"/>
      <c r="AV43" s="189"/>
      <c r="AW43" s="189"/>
      <c r="AX43" s="189"/>
      <c r="AY43" s="75"/>
      <c r="AZ43" s="75"/>
      <c r="BA43" s="189"/>
      <c r="BB43" s="189"/>
      <c r="BC43" s="189"/>
      <c r="BD43" s="189"/>
      <c r="BE43" s="75"/>
      <c r="BF43" s="75"/>
      <c r="BG43" s="189"/>
      <c r="BH43" s="189"/>
      <c r="BI43" s="189"/>
      <c r="BJ43" s="189"/>
      <c r="BK43" s="75"/>
      <c r="BL43" s="75"/>
      <c r="BM43" s="189"/>
      <c r="BN43" s="189"/>
      <c r="BO43" s="189"/>
      <c r="BP43" s="189"/>
      <c r="BQ43" s="75"/>
      <c r="BR43" s="75"/>
      <c r="BS43" s="189"/>
      <c r="BT43" s="189"/>
      <c r="BU43" s="189"/>
      <c r="BV43" s="189"/>
      <c r="BW43" s="75"/>
      <c r="BX43" s="75"/>
      <c r="BY43" s="189"/>
      <c r="BZ43" s="189"/>
      <c r="CA43" s="189"/>
      <c r="CB43" s="189"/>
      <c r="CC43" s="75"/>
      <c r="CD43" s="75"/>
      <c r="CE43" s="189"/>
      <c r="CF43" s="189"/>
      <c r="CG43" s="189"/>
      <c r="CH43" s="189"/>
      <c r="CI43" s="75"/>
      <c r="CJ43" s="75"/>
      <c r="CK43" s="189"/>
      <c r="CL43" s="189"/>
      <c r="CM43" s="189"/>
      <c r="CN43" s="189"/>
      <c r="CO43" s="75"/>
      <c r="CP43" s="75"/>
      <c r="CQ43" s="189"/>
      <c r="CR43" s="189"/>
      <c r="CS43" s="189"/>
      <c r="CT43" s="189"/>
      <c r="CU43" s="75"/>
      <c r="CV43" s="75"/>
      <c r="CW43" s="75"/>
      <c r="CX43" s="75"/>
      <c r="CY43" s="53"/>
      <c r="CZ43" s="51"/>
      <c r="DA43" s="51"/>
      <c r="DB43" s="51"/>
      <c r="DC43" s="51"/>
      <c r="DD43" s="51"/>
      <c r="DE43" s="51"/>
      <c r="DF43" s="51"/>
    </row>
    <row r="44" spans="1:111" s="65" customFormat="1" ht="6" customHeight="1" x14ac:dyDescent="0.25">
      <c r="A44" s="51"/>
      <c r="B44" s="51"/>
      <c r="C44" s="51"/>
      <c r="D44" s="52"/>
      <c r="E44" s="111"/>
      <c r="F44" s="51"/>
      <c r="G44" s="51"/>
      <c r="H44" s="53"/>
      <c r="I44" s="53"/>
      <c r="J44" s="53"/>
      <c r="K44" s="53"/>
      <c r="L44" s="53"/>
      <c r="M44" s="75"/>
      <c r="N44" s="75"/>
      <c r="O44" s="75"/>
      <c r="P44" s="75"/>
      <c r="Q44" s="189"/>
      <c r="R44" s="189"/>
      <c r="S44" s="189"/>
      <c r="T44" s="189"/>
      <c r="U44" s="75"/>
      <c r="V44" s="75"/>
      <c r="W44" s="189"/>
      <c r="X44" s="189"/>
      <c r="Y44" s="189"/>
      <c r="Z44" s="189"/>
      <c r="AA44" s="75"/>
      <c r="AB44" s="75"/>
      <c r="AC44" s="189"/>
      <c r="AD44" s="189"/>
      <c r="AE44" s="189"/>
      <c r="AF44" s="189"/>
      <c r="AG44" s="75"/>
      <c r="AH44" s="75"/>
      <c r="AI44" s="189"/>
      <c r="AJ44" s="189"/>
      <c r="AK44" s="189"/>
      <c r="AL44" s="189"/>
      <c r="AM44" s="75"/>
      <c r="AN44" s="75"/>
      <c r="AO44" s="189"/>
      <c r="AP44" s="189"/>
      <c r="AQ44" s="189"/>
      <c r="AR44" s="189"/>
      <c r="AS44" s="75"/>
      <c r="AT44" s="75"/>
      <c r="AU44" s="189"/>
      <c r="AV44" s="189"/>
      <c r="AW44" s="189"/>
      <c r="AX44" s="189"/>
      <c r="AY44" s="75"/>
      <c r="AZ44" s="75"/>
      <c r="BA44" s="189"/>
      <c r="BB44" s="189"/>
      <c r="BC44" s="189"/>
      <c r="BD44" s="189"/>
      <c r="BE44" s="75"/>
      <c r="BF44" s="75"/>
      <c r="BG44" s="189"/>
      <c r="BH44" s="189"/>
      <c r="BI44" s="189"/>
      <c r="BJ44" s="189"/>
      <c r="BK44" s="75"/>
      <c r="BL44" s="75"/>
      <c r="BM44" s="189"/>
      <c r="BN44" s="189"/>
      <c r="BO44" s="189"/>
      <c r="BP44" s="189"/>
      <c r="BQ44" s="75"/>
      <c r="BR44" s="75"/>
      <c r="BS44" s="189"/>
      <c r="BT44" s="189"/>
      <c r="BU44" s="189"/>
      <c r="BV44" s="189"/>
      <c r="BW44" s="75"/>
      <c r="BX44" s="75"/>
      <c r="BY44" s="189"/>
      <c r="BZ44" s="189"/>
      <c r="CA44" s="189"/>
      <c r="CB44" s="189"/>
      <c r="CC44" s="75"/>
      <c r="CD44" s="75"/>
      <c r="CE44" s="189"/>
      <c r="CF44" s="189"/>
      <c r="CG44" s="189"/>
      <c r="CH44" s="189"/>
      <c r="CI44" s="75"/>
      <c r="CJ44" s="75"/>
      <c r="CK44" s="189"/>
      <c r="CL44" s="189"/>
      <c r="CM44" s="189"/>
      <c r="CN44" s="189"/>
      <c r="CO44" s="75"/>
      <c r="CP44" s="75"/>
      <c r="CQ44" s="189"/>
      <c r="CR44" s="189"/>
      <c r="CS44" s="189"/>
      <c r="CT44" s="189"/>
      <c r="CU44" s="75"/>
      <c r="CV44" s="75"/>
      <c r="CW44" s="75"/>
      <c r="CX44" s="75"/>
      <c r="CY44" s="53"/>
      <c r="CZ44" s="51"/>
      <c r="DA44" s="51"/>
      <c r="DB44" s="51"/>
      <c r="DC44" s="51"/>
      <c r="DD44" s="51"/>
      <c r="DE44" s="51"/>
      <c r="DF44" s="51"/>
    </row>
    <row r="45" spans="1:111" s="65" customFormat="1" ht="6" customHeight="1" x14ac:dyDescent="0.25">
      <c r="A45" s="51"/>
      <c r="B45" s="51"/>
      <c r="C45" s="51"/>
      <c r="D45" s="52"/>
      <c r="E45" s="111"/>
      <c r="F45" s="51"/>
      <c r="G45" s="51"/>
      <c r="H45" s="53"/>
      <c r="I45" s="53"/>
      <c r="J45" s="53"/>
      <c r="K45" s="53"/>
      <c r="L45" s="53"/>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75"/>
      <c r="CU45" s="75"/>
      <c r="CV45" s="75"/>
      <c r="CW45" s="75"/>
      <c r="CX45" s="75"/>
      <c r="CY45" s="53"/>
      <c r="CZ45" s="51"/>
      <c r="DA45" s="51"/>
      <c r="DB45" s="51"/>
      <c r="DC45" s="51"/>
      <c r="DD45" s="51"/>
      <c r="DE45" s="51"/>
      <c r="DF45" s="51"/>
    </row>
    <row r="46" spans="1:111" s="65" customFormat="1" ht="6" customHeight="1" x14ac:dyDescent="0.25">
      <c r="A46" s="51"/>
      <c r="B46" s="51"/>
      <c r="C46" s="51"/>
      <c r="D46" s="52"/>
      <c r="E46" s="111"/>
      <c r="F46" s="51"/>
      <c r="G46" s="51"/>
      <c r="H46" s="51"/>
      <c r="I46" s="51"/>
      <c r="J46" s="51"/>
      <c r="K46" s="51"/>
      <c r="L46" s="51"/>
      <c r="M46" s="75"/>
      <c r="N46" s="125"/>
      <c r="O46" s="125"/>
      <c r="P46" s="125"/>
      <c r="Q46" s="125"/>
      <c r="R46" s="75"/>
      <c r="S46" s="75"/>
      <c r="T46" s="125"/>
      <c r="U46" s="125"/>
      <c r="V46" s="125"/>
      <c r="W46" s="125"/>
      <c r="X46" s="75"/>
      <c r="Y46" s="75"/>
      <c r="Z46" s="125"/>
      <c r="AA46" s="125"/>
      <c r="AB46" s="125"/>
      <c r="AC46" s="125"/>
      <c r="AD46" s="75"/>
      <c r="AE46" s="75"/>
      <c r="AF46" s="125"/>
      <c r="AG46" s="125"/>
      <c r="AH46" s="125"/>
      <c r="AI46" s="125"/>
      <c r="AJ46" s="75"/>
      <c r="AK46" s="75"/>
      <c r="AL46" s="125"/>
      <c r="AM46" s="125"/>
      <c r="AN46" s="125"/>
      <c r="AO46" s="125"/>
      <c r="AP46" s="75"/>
      <c r="AQ46" s="75"/>
      <c r="AR46" s="125"/>
      <c r="AS46" s="125"/>
      <c r="AT46" s="125"/>
      <c r="AU46" s="125"/>
      <c r="AV46" s="75"/>
      <c r="AW46" s="75"/>
      <c r="AX46" s="125"/>
      <c r="AY46" s="125"/>
      <c r="AZ46" s="125"/>
      <c r="BA46" s="125"/>
      <c r="BB46" s="75"/>
      <c r="BC46" s="75"/>
      <c r="BD46" s="125"/>
      <c r="BE46" s="125"/>
      <c r="BF46" s="125"/>
      <c r="BG46" s="125"/>
      <c r="BH46" s="75"/>
      <c r="BI46" s="75"/>
      <c r="BJ46" s="125"/>
      <c r="BK46" s="125"/>
      <c r="BL46" s="125"/>
      <c r="BM46" s="125"/>
      <c r="BN46" s="75"/>
      <c r="BO46" s="75"/>
      <c r="BP46" s="125"/>
      <c r="BQ46" s="125"/>
      <c r="BR46" s="125"/>
      <c r="BS46" s="125"/>
      <c r="BT46" s="75"/>
      <c r="BU46" s="75"/>
      <c r="BV46" s="125"/>
      <c r="BW46" s="125"/>
      <c r="BX46" s="125"/>
      <c r="BY46" s="125"/>
      <c r="BZ46" s="75"/>
      <c r="CA46" s="75"/>
      <c r="CB46" s="125"/>
      <c r="CC46" s="125"/>
      <c r="CD46" s="125"/>
      <c r="CE46" s="125"/>
      <c r="CF46" s="75"/>
      <c r="CG46" s="75"/>
      <c r="CH46" s="125"/>
      <c r="CI46" s="125"/>
      <c r="CJ46" s="125"/>
      <c r="CK46" s="125"/>
      <c r="CL46" s="75"/>
      <c r="CM46" s="75"/>
      <c r="CN46" s="125"/>
      <c r="CO46" s="125"/>
      <c r="CP46" s="125"/>
      <c r="CQ46" s="125"/>
      <c r="CR46" s="75"/>
      <c r="CS46" s="75"/>
      <c r="CT46" s="125"/>
      <c r="CU46" s="125"/>
      <c r="CV46" s="125"/>
      <c r="CW46" s="125"/>
      <c r="CX46" s="75"/>
      <c r="CY46" s="53"/>
      <c r="CZ46" s="51"/>
      <c r="DA46" s="51"/>
      <c r="DB46" s="51"/>
      <c r="DC46" s="51"/>
      <c r="DD46" s="51"/>
      <c r="DE46" s="51"/>
      <c r="DF46" s="51"/>
    </row>
    <row r="47" spans="1:111" s="65" customFormat="1" ht="10.5" x14ac:dyDescent="0.2">
      <c r="A47" s="51"/>
      <c r="B47" s="47"/>
      <c r="C47" s="47"/>
      <c r="D47" s="48"/>
      <c r="E47" s="49"/>
      <c r="F47" s="190" t="s">
        <v>25</v>
      </c>
      <c r="G47" s="242"/>
      <c r="H47" s="242"/>
      <c r="I47" s="242"/>
      <c r="J47" s="242"/>
      <c r="K47" s="242"/>
      <c r="L47" s="191"/>
      <c r="M47" s="192">
        <v>1</v>
      </c>
      <c r="N47" s="193"/>
      <c r="O47" s="193"/>
      <c r="P47" s="193"/>
      <c r="Q47" s="193"/>
      <c r="R47" s="193"/>
      <c r="S47" s="192">
        <v>2</v>
      </c>
      <c r="T47" s="193"/>
      <c r="U47" s="193"/>
      <c r="V47" s="193"/>
      <c r="W47" s="193"/>
      <c r="X47" s="193"/>
      <c r="Y47" s="192">
        <v>3</v>
      </c>
      <c r="Z47" s="193"/>
      <c r="AA47" s="193"/>
      <c r="AB47" s="193"/>
      <c r="AC47" s="193"/>
      <c r="AD47" s="193"/>
      <c r="AE47" s="192">
        <v>4</v>
      </c>
      <c r="AF47" s="193"/>
      <c r="AG47" s="193"/>
      <c r="AH47" s="193"/>
      <c r="AI47" s="193"/>
      <c r="AJ47" s="193"/>
      <c r="AK47" s="192">
        <v>5</v>
      </c>
      <c r="AL47" s="193"/>
      <c r="AM47" s="193"/>
      <c r="AN47" s="193"/>
      <c r="AO47" s="193"/>
      <c r="AP47" s="193"/>
      <c r="AQ47" s="192">
        <v>6</v>
      </c>
      <c r="AR47" s="193"/>
      <c r="AS47" s="193"/>
      <c r="AT47" s="193"/>
      <c r="AU47" s="193"/>
      <c r="AV47" s="193"/>
      <c r="AW47" s="192">
        <v>7</v>
      </c>
      <c r="AX47" s="193"/>
      <c r="AY47" s="193"/>
      <c r="AZ47" s="193"/>
      <c r="BA47" s="193"/>
      <c r="BB47" s="193"/>
      <c r="BC47" s="192">
        <v>8</v>
      </c>
      <c r="BD47" s="193"/>
      <c r="BE47" s="193"/>
      <c r="BF47" s="193"/>
      <c r="BG47" s="193"/>
      <c r="BH47" s="193"/>
      <c r="BI47" s="192">
        <v>9</v>
      </c>
      <c r="BJ47" s="193"/>
      <c r="BK47" s="193"/>
      <c r="BL47" s="193"/>
      <c r="BM47" s="193"/>
      <c r="BN47" s="193"/>
      <c r="BO47" s="192">
        <v>10</v>
      </c>
      <c r="BP47" s="193"/>
      <c r="BQ47" s="193"/>
      <c r="BR47" s="193"/>
      <c r="BS47" s="193"/>
      <c r="BT47" s="193"/>
      <c r="BU47" s="192">
        <v>11</v>
      </c>
      <c r="BV47" s="193"/>
      <c r="BW47" s="193"/>
      <c r="BX47" s="193"/>
      <c r="BY47" s="193"/>
      <c r="BZ47" s="193"/>
      <c r="CA47" s="192">
        <v>12</v>
      </c>
      <c r="CB47" s="193"/>
      <c r="CC47" s="193"/>
      <c r="CD47" s="193"/>
      <c r="CE47" s="193"/>
      <c r="CF47" s="193"/>
      <c r="CG47" s="192">
        <v>13</v>
      </c>
      <c r="CH47" s="193"/>
      <c r="CI47" s="193"/>
      <c r="CJ47" s="193"/>
      <c r="CK47" s="193"/>
      <c r="CL47" s="193"/>
      <c r="CM47" s="192">
        <v>14</v>
      </c>
      <c r="CN47" s="193"/>
      <c r="CO47" s="193"/>
      <c r="CP47" s="193"/>
      <c r="CQ47" s="193"/>
      <c r="CR47" s="193"/>
      <c r="CS47" s="192">
        <v>15</v>
      </c>
      <c r="CT47" s="193"/>
      <c r="CU47" s="193"/>
      <c r="CV47" s="193"/>
      <c r="CW47" s="193"/>
      <c r="CX47" s="193"/>
      <c r="CY47" s="17"/>
      <c r="CZ47" s="17"/>
      <c r="DA47" s="17"/>
      <c r="DB47" s="17"/>
      <c r="DC47" s="17"/>
      <c r="DD47" s="17"/>
      <c r="DE47" s="17"/>
      <c r="DF47" s="17"/>
    </row>
    <row r="48" spans="1:111" s="65" customFormat="1" ht="58.5" customHeight="1" x14ac:dyDescent="0.2">
      <c r="A48" s="51"/>
      <c r="B48" s="47"/>
      <c r="C48" s="47"/>
      <c r="D48" s="48"/>
      <c r="E48" s="50"/>
      <c r="F48" s="190" t="s">
        <v>28</v>
      </c>
      <c r="G48" s="242"/>
      <c r="H48" s="242"/>
      <c r="I48" s="242"/>
      <c r="J48" s="242"/>
      <c r="K48" s="242"/>
      <c r="L48" s="201"/>
      <c r="M48" s="196"/>
      <c r="N48" s="197"/>
      <c r="O48" s="197"/>
      <c r="P48" s="197"/>
      <c r="Q48" s="197"/>
      <c r="R48" s="198"/>
      <c r="S48" s="196"/>
      <c r="T48" s="197"/>
      <c r="U48" s="197"/>
      <c r="V48" s="197"/>
      <c r="W48" s="197"/>
      <c r="X48" s="198"/>
      <c r="Y48" s="196"/>
      <c r="Z48" s="197"/>
      <c r="AA48" s="197"/>
      <c r="AB48" s="197"/>
      <c r="AC48" s="197"/>
      <c r="AD48" s="198"/>
      <c r="AE48" s="196"/>
      <c r="AF48" s="197"/>
      <c r="AG48" s="197"/>
      <c r="AH48" s="197"/>
      <c r="AI48" s="197"/>
      <c r="AJ48" s="198"/>
      <c r="AK48" s="196"/>
      <c r="AL48" s="197"/>
      <c r="AM48" s="197"/>
      <c r="AN48" s="197"/>
      <c r="AO48" s="197"/>
      <c r="AP48" s="198"/>
      <c r="AQ48" s="196"/>
      <c r="AR48" s="197"/>
      <c r="AS48" s="197"/>
      <c r="AT48" s="197"/>
      <c r="AU48" s="197"/>
      <c r="AV48" s="198"/>
      <c r="AW48" s="196"/>
      <c r="AX48" s="197"/>
      <c r="AY48" s="197"/>
      <c r="AZ48" s="197"/>
      <c r="BA48" s="197"/>
      <c r="BB48" s="198"/>
      <c r="BC48" s="196"/>
      <c r="BD48" s="197"/>
      <c r="BE48" s="197"/>
      <c r="BF48" s="197"/>
      <c r="BG48" s="197"/>
      <c r="BH48" s="198"/>
      <c r="BI48" s="196"/>
      <c r="BJ48" s="197"/>
      <c r="BK48" s="197"/>
      <c r="BL48" s="197"/>
      <c r="BM48" s="197"/>
      <c r="BN48" s="198"/>
      <c r="BO48" s="196"/>
      <c r="BP48" s="197"/>
      <c r="BQ48" s="197"/>
      <c r="BR48" s="197"/>
      <c r="BS48" s="197"/>
      <c r="BT48" s="198"/>
      <c r="BU48" s="196"/>
      <c r="BV48" s="197"/>
      <c r="BW48" s="197"/>
      <c r="BX48" s="197"/>
      <c r="BY48" s="197"/>
      <c r="BZ48" s="198"/>
      <c r="CA48" s="196"/>
      <c r="CB48" s="197"/>
      <c r="CC48" s="197"/>
      <c r="CD48" s="197"/>
      <c r="CE48" s="197"/>
      <c r="CF48" s="198"/>
      <c r="CG48" s="196"/>
      <c r="CH48" s="197"/>
      <c r="CI48" s="197"/>
      <c r="CJ48" s="197"/>
      <c r="CK48" s="197"/>
      <c r="CL48" s="198"/>
      <c r="CM48" s="196"/>
      <c r="CN48" s="197"/>
      <c r="CO48" s="197"/>
      <c r="CP48" s="197"/>
      <c r="CQ48" s="197"/>
      <c r="CR48" s="198"/>
      <c r="CS48" s="211"/>
      <c r="CT48" s="211"/>
      <c r="CU48" s="211"/>
      <c r="CV48" s="211"/>
      <c r="CW48" s="211"/>
      <c r="CX48" s="211"/>
      <c r="CY48" s="17"/>
      <c r="CZ48" s="17"/>
      <c r="DA48" s="17"/>
      <c r="DB48" s="17"/>
      <c r="DC48" s="17"/>
      <c r="DD48" s="17"/>
      <c r="DE48" s="17"/>
      <c r="DF48" s="17"/>
    </row>
    <row r="49" spans="1:110" ht="21.75" customHeight="1" x14ac:dyDescent="0.25">
      <c r="A49" s="17"/>
      <c r="B49" s="199" t="s">
        <v>24</v>
      </c>
      <c r="C49" s="199" t="s">
        <v>35</v>
      </c>
      <c r="D49" s="194" t="s">
        <v>2</v>
      </c>
      <c r="E49" s="194" t="s">
        <v>10</v>
      </c>
      <c r="F49" s="95"/>
      <c r="G49" s="96"/>
      <c r="H49" s="96"/>
      <c r="I49" s="96"/>
      <c r="J49" s="96"/>
      <c r="K49" s="96"/>
      <c r="L49" s="97"/>
      <c r="M49" s="202"/>
      <c r="N49" s="203"/>
      <c r="O49" s="203"/>
      <c r="P49" s="203"/>
      <c r="Q49" s="203"/>
      <c r="R49" s="204"/>
      <c r="S49" s="202"/>
      <c r="T49" s="203"/>
      <c r="U49" s="203"/>
      <c r="V49" s="203"/>
      <c r="W49" s="203"/>
      <c r="X49" s="204"/>
      <c r="Y49" s="202"/>
      <c r="Z49" s="203"/>
      <c r="AA49" s="203"/>
      <c r="AB49" s="203"/>
      <c r="AC49" s="203"/>
      <c r="AD49" s="204"/>
      <c r="AE49" s="202"/>
      <c r="AF49" s="203"/>
      <c r="AG49" s="203"/>
      <c r="AH49" s="203"/>
      <c r="AI49" s="203"/>
      <c r="AJ49" s="204"/>
      <c r="AK49" s="202"/>
      <c r="AL49" s="203"/>
      <c r="AM49" s="203"/>
      <c r="AN49" s="203"/>
      <c r="AO49" s="203"/>
      <c r="AP49" s="204"/>
      <c r="AQ49" s="202"/>
      <c r="AR49" s="203"/>
      <c r="AS49" s="203"/>
      <c r="AT49" s="203"/>
      <c r="AU49" s="203"/>
      <c r="AV49" s="204"/>
      <c r="AW49" s="202"/>
      <c r="AX49" s="203"/>
      <c r="AY49" s="203"/>
      <c r="AZ49" s="203"/>
      <c r="BA49" s="203"/>
      <c r="BB49" s="204"/>
      <c r="BC49" s="202"/>
      <c r="BD49" s="203"/>
      <c r="BE49" s="203"/>
      <c r="BF49" s="203"/>
      <c r="BG49" s="203"/>
      <c r="BH49" s="204"/>
      <c r="BI49" s="202"/>
      <c r="BJ49" s="203"/>
      <c r="BK49" s="203"/>
      <c r="BL49" s="203"/>
      <c r="BM49" s="203"/>
      <c r="BN49" s="204"/>
      <c r="BO49" s="202"/>
      <c r="BP49" s="203"/>
      <c r="BQ49" s="203"/>
      <c r="BR49" s="203"/>
      <c r="BS49" s="203"/>
      <c r="BT49" s="204"/>
      <c r="BU49" s="202"/>
      <c r="BV49" s="203"/>
      <c r="BW49" s="203"/>
      <c r="BX49" s="203"/>
      <c r="BY49" s="203"/>
      <c r="BZ49" s="204"/>
      <c r="CA49" s="202"/>
      <c r="CB49" s="203"/>
      <c r="CC49" s="203"/>
      <c r="CD49" s="203"/>
      <c r="CE49" s="203"/>
      <c r="CF49" s="204"/>
      <c r="CG49" s="202"/>
      <c r="CH49" s="203"/>
      <c r="CI49" s="203"/>
      <c r="CJ49" s="203"/>
      <c r="CK49" s="203"/>
      <c r="CL49" s="204"/>
      <c r="CM49" s="202"/>
      <c r="CN49" s="203"/>
      <c r="CO49" s="203"/>
      <c r="CP49" s="203"/>
      <c r="CQ49" s="203"/>
      <c r="CR49" s="204"/>
      <c r="CS49" s="202"/>
      <c r="CT49" s="203"/>
      <c r="CU49" s="203"/>
      <c r="CV49" s="203"/>
      <c r="CW49" s="203"/>
      <c r="CX49" s="204"/>
      <c r="CY49" s="17"/>
      <c r="CZ49" s="17"/>
      <c r="DA49" s="17"/>
      <c r="DB49" s="17"/>
      <c r="DC49" s="17"/>
      <c r="DD49" s="17"/>
      <c r="DE49" s="17"/>
      <c r="DF49" s="17"/>
    </row>
    <row r="50" spans="1:110" ht="21.75" customHeight="1" x14ac:dyDescent="0.25">
      <c r="A50" s="17"/>
      <c r="B50" s="240"/>
      <c r="C50" s="240"/>
      <c r="D50" s="241"/>
      <c r="E50" s="241"/>
      <c r="F50" s="98"/>
      <c r="G50" s="99"/>
      <c r="H50" s="100"/>
      <c r="I50" s="100"/>
      <c r="J50" s="100"/>
      <c r="K50" s="100"/>
      <c r="L50" s="97"/>
      <c r="M50" s="237"/>
      <c r="N50" s="238"/>
      <c r="O50" s="238"/>
      <c r="P50" s="238"/>
      <c r="Q50" s="238"/>
      <c r="R50" s="239"/>
      <c r="S50" s="237"/>
      <c r="T50" s="238"/>
      <c r="U50" s="238"/>
      <c r="V50" s="238"/>
      <c r="W50" s="238"/>
      <c r="X50" s="239"/>
      <c r="Y50" s="237"/>
      <c r="Z50" s="238"/>
      <c r="AA50" s="238"/>
      <c r="AB50" s="238"/>
      <c r="AC50" s="238"/>
      <c r="AD50" s="239"/>
      <c r="AE50" s="237"/>
      <c r="AF50" s="238"/>
      <c r="AG50" s="238"/>
      <c r="AH50" s="238"/>
      <c r="AI50" s="238"/>
      <c r="AJ50" s="239"/>
      <c r="AK50" s="237"/>
      <c r="AL50" s="238"/>
      <c r="AM50" s="238"/>
      <c r="AN50" s="238"/>
      <c r="AO50" s="238"/>
      <c r="AP50" s="239"/>
      <c r="AQ50" s="237"/>
      <c r="AR50" s="238"/>
      <c r="AS50" s="238"/>
      <c r="AT50" s="238"/>
      <c r="AU50" s="238"/>
      <c r="AV50" s="239"/>
      <c r="AW50" s="237"/>
      <c r="AX50" s="238"/>
      <c r="AY50" s="238"/>
      <c r="AZ50" s="238"/>
      <c r="BA50" s="238"/>
      <c r="BB50" s="239"/>
      <c r="BC50" s="237"/>
      <c r="BD50" s="238"/>
      <c r="BE50" s="238"/>
      <c r="BF50" s="238"/>
      <c r="BG50" s="238"/>
      <c r="BH50" s="239"/>
      <c r="BI50" s="237"/>
      <c r="BJ50" s="238"/>
      <c r="BK50" s="238"/>
      <c r="BL50" s="238"/>
      <c r="BM50" s="238"/>
      <c r="BN50" s="239"/>
      <c r="BO50" s="237"/>
      <c r="BP50" s="238"/>
      <c r="BQ50" s="238"/>
      <c r="BR50" s="238"/>
      <c r="BS50" s="238"/>
      <c r="BT50" s="239"/>
      <c r="BU50" s="237"/>
      <c r="BV50" s="238"/>
      <c r="BW50" s="238"/>
      <c r="BX50" s="238"/>
      <c r="BY50" s="238"/>
      <c r="BZ50" s="239"/>
      <c r="CA50" s="237"/>
      <c r="CB50" s="238"/>
      <c r="CC50" s="238"/>
      <c r="CD50" s="238"/>
      <c r="CE50" s="238"/>
      <c r="CF50" s="239"/>
      <c r="CG50" s="237"/>
      <c r="CH50" s="238"/>
      <c r="CI50" s="238"/>
      <c r="CJ50" s="238"/>
      <c r="CK50" s="238"/>
      <c r="CL50" s="239"/>
      <c r="CM50" s="237"/>
      <c r="CN50" s="238"/>
      <c r="CO50" s="238"/>
      <c r="CP50" s="238"/>
      <c r="CQ50" s="238"/>
      <c r="CR50" s="239"/>
      <c r="CS50" s="237"/>
      <c r="CT50" s="238"/>
      <c r="CU50" s="238"/>
      <c r="CV50" s="238"/>
      <c r="CW50" s="238"/>
      <c r="CX50" s="239"/>
      <c r="CY50" s="17"/>
      <c r="CZ50" s="17"/>
      <c r="DA50" s="17"/>
      <c r="DB50" s="17"/>
      <c r="DC50" s="17"/>
      <c r="DD50" s="17"/>
      <c r="DE50" s="17"/>
      <c r="DF50" s="17"/>
    </row>
    <row r="51" spans="1:110" ht="21.75" customHeight="1" x14ac:dyDescent="0.25">
      <c r="A51" s="17"/>
      <c r="B51" s="240"/>
      <c r="C51" s="240"/>
      <c r="D51" s="241"/>
      <c r="E51" s="241"/>
      <c r="F51" s="98"/>
      <c r="G51" s="100"/>
      <c r="H51" s="99"/>
      <c r="I51" s="100"/>
      <c r="J51" s="227" t="s">
        <v>59</v>
      </c>
      <c r="K51" s="227"/>
      <c r="L51" s="228"/>
      <c r="M51" s="237"/>
      <c r="N51" s="238"/>
      <c r="O51" s="238"/>
      <c r="P51" s="238"/>
      <c r="Q51" s="238"/>
      <c r="R51" s="239"/>
      <c r="S51" s="237"/>
      <c r="T51" s="238"/>
      <c r="U51" s="238"/>
      <c r="V51" s="238"/>
      <c r="W51" s="238"/>
      <c r="X51" s="239"/>
      <c r="Y51" s="237"/>
      <c r="Z51" s="238"/>
      <c r="AA51" s="238"/>
      <c r="AB51" s="238"/>
      <c r="AC51" s="238"/>
      <c r="AD51" s="239"/>
      <c r="AE51" s="237"/>
      <c r="AF51" s="238"/>
      <c r="AG51" s="238"/>
      <c r="AH51" s="238"/>
      <c r="AI51" s="238"/>
      <c r="AJ51" s="239"/>
      <c r="AK51" s="237"/>
      <c r="AL51" s="238"/>
      <c r="AM51" s="238"/>
      <c r="AN51" s="238"/>
      <c r="AO51" s="238"/>
      <c r="AP51" s="239"/>
      <c r="AQ51" s="237"/>
      <c r="AR51" s="238"/>
      <c r="AS51" s="238"/>
      <c r="AT51" s="238"/>
      <c r="AU51" s="238"/>
      <c r="AV51" s="239"/>
      <c r="AW51" s="237"/>
      <c r="AX51" s="238"/>
      <c r="AY51" s="238"/>
      <c r="AZ51" s="238"/>
      <c r="BA51" s="238"/>
      <c r="BB51" s="239"/>
      <c r="BC51" s="237"/>
      <c r="BD51" s="238"/>
      <c r="BE51" s="238"/>
      <c r="BF51" s="238"/>
      <c r="BG51" s="238"/>
      <c r="BH51" s="239"/>
      <c r="BI51" s="237"/>
      <c r="BJ51" s="238"/>
      <c r="BK51" s="238"/>
      <c r="BL51" s="238"/>
      <c r="BM51" s="238"/>
      <c r="BN51" s="239"/>
      <c r="BO51" s="237"/>
      <c r="BP51" s="238"/>
      <c r="BQ51" s="238"/>
      <c r="BR51" s="238"/>
      <c r="BS51" s="238"/>
      <c r="BT51" s="239"/>
      <c r="BU51" s="237"/>
      <c r="BV51" s="238"/>
      <c r="BW51" s="238"/>
      <c r="BX51" s="238"/>
      <c r="BY51" s="238"/>
      <c r="BZ51" s="239"/>
      <c r="CA51" s="237"/>
      <c r="CB51" s="238"/>
      <c r="CC51" s="238"/>
      <c r="CD51" s="238"/>
      <c r="CE51" s="238"/>
      <c r="CF51" s="239"/>
      <c r="CG51" s="237"/>
      <c r="CH51" s="238"/>
      <c r="CI51" s="238"/>
      <c r="CJ51" s="238"/>
      <c r="CK51" s="238"/>
      <c r="CL51" s="239"/>
      <c r="CM51" s="237"/>
      <c r="CN51" s="238"/>
      <c r="CO51" s="238"/>
      <c r="CP51" s="238"/>
      <c r="CQ51" s="238"/>
      <c r="CR51" s="239"/>
      <c r="CS51" s="237"/>
      <c r="CT51" s="238"/>
      <c r="CU51" s="238"/>
      <c r="CV51" s="238"/>
      <c r="CW51" s="238"/>
      <c r="CX51" s="239"/>
      <c r="CY51" s="17"/>
      <c r="CZ51" s="17"/>
      <c r="DA51" s="17"/>
      <c r="DB51" s="17"/>
      <c r="DC51" s="17"/>
      <c r="DD51" s="17"/>
      <c r="DE51" s="17"/>
      <c r="DF51" s="17"/>
    </row>
    <row r="52" spans="1:110" ht="21.75" customHeight="1" x14ac:dyDescent="0.25">
      <c r="A52" s="17"/>
      <c r="B52" s="240"/>
      <c r="C52" s="240"/>
      <c r="D52" s="241"/>
      <c r="E52" s="241"/>
      <c r="F52" s="98"/>
      <c r="G52" s="100"/>
      <c r="H52" s="100"/>
      <c r="I52" s="99"/>
      <c r="J52" s="227"/>
      <c r="K52" s="227"/>
      <c r="L52" s="228"/>
      <c r="M52" s="237"/>
      <c r="N52" s="238"/>
      <c r="O52" s="238"/>
      <c r="P52" s="238"/>
      <c r="Q52" s="238"/>
      <c r="R52" s="239"/>
      <c r="S52" s="237"/>
      <c r="T52" s="238"/>
      <c r="U52" s="238"/>
      <c r="V52" s="238"/>
      <c r="W52" s="238"/>
      <c r="X52" s="239"/>
      <c r="Y52" s="237"/>
      <c r="Z52" s="238"/>
      <c r="AA52" s="238"/>
      <c r="AB52" s="238"/>
      <c r="AC52" s="238"/>
      <c r="AD52" s="239"/>
      <c r="AE52" s="237"/>
      <c r="AF52" s="238"/>
      <c r="AG52" s="238"/>
      <c r="AH52" s="238"/>
      <c r="AI52" s="238"/>
      <c r="AJ52" s="239"/>
      <c r="AK52" s="237"/>
      <c r="AL52" s="238"/>
      <c r="AM52" s="238"/>
      <c r="AN52" s="238"/>
      <c r="AO52" s="238"/>
      <c r="AP52" s="239"/>
      <c r="AQ52" s="237"/>
      <c r="AR52" s="238"/>
      <c r="AS52" s="238"/>
      <c r="AT52" s="238"/>
      <c r="AU52" s="238"/>
      <c r="AV52" s="239"/>
      <c r="AW52" s="237"/>
      <c r="AX52" s="238"/>
      <c r="AY52" s="238"/>
      <c r="AZ52" s="238"/>
      <c r="BA52" s="238"/>
      <c r="BB52" s="239"/>
      <c r="BC52" s="237"/>
      <c r="BD52" s="238"/>
      <c r="BE52" s="238"/>
      <c r="BF52" s="238"/>
      <c r="BG52" s="238"/>
      <c r="BH52" s="239"/>
      <c r="BI52" s="237"/>
      <c r="BJ52" s="238"/>
      <c r="BK52" s="238"/>
      <c r="BL52" s="238"/>
      <c r="BM52" s="238"/>
      <c r="BN52" s="239"/>
      <c r="BO52" s="237"/>
      <c r="BP52" s="238"/>
      <c r="BQ52" s="238"/>
      <c r="BR52" s="238"/>
      <c r="BS52" s="238"/>
      <c r="BT52" s="239"/>
      <c r="BU52" s="237"/>
      <c r="BV52" s="238"/>
      <c r="BW52" s="238"/>
      <c r="BX52" s="238"/>
      <c r="BY52" s="238"/>
      <c r="BZ52" s="239"/>
      <c r="CA52" s="237"/>
      <c r="CB52" s="238"/>
      <c r="CC52" s="238"/>
      <c r="CD52" s="238"/>
      <c r="CE52" s="238"/>
      <c r="CF52" s="239"/>
      <c r="CG52" s="237"/>
      <c r="CH52" s="238"/>
      <c r="CI52" s="238"/>
      <c r="CJ52" s="238"/>
      <c r="CK52" s="238"/>
      <c r="CL52" s="239"/>
      <c r="CM52" s="237"/>
      <c r="CN52" s="238"/>
      <c r="CO52" s="238"/>
      <c r="CP52" s="238"/>
      <c r="CQ52" s="238"/>
      <c r="CR52" s="239"/>
      <c r="CS52" s="237"/>
      <c r="CT52" s="238"/>
      <c r="CU52" s="238"/>
      <c r="CV52" s="238"/>
      <c r="CW52" s="238"/>
      <c r="CX52" s="239"/>
      <c r="CY52" s="17"/>
      <c r="CZ52" s="17"/>
      <c r="DA52" s="17"/>
      <c r="DB52" s="17"/>
      <c r="DC52" s="17"/>
      <c r="DD52" s="17"/>
      <c r="DE52" s="17"/>
      <c r="DF52" s="17"/>
    </row>
    <row r="53" spans="1:110" ht="21.75" customHeight="1" x14ac:dyDescent="0.25">
      <c r="A53" s="17"/>
      <c r="B53" s="240"/>
      <c r="C53" s="240"/>
      <c r="D53" s="241"/>
      <c r="E53" s="241"/>
      <c r="F53" s="98"/>
      <c r="G53" s="100"/>
      <c r="H53" s="100"/>
      <c r="I53" s="100"/>
      <c r="J53" s="99"/>
      <c r="K53" s="100"/>
      <c r="L53" s="97"/>
      <c r="M53" s="237"/>
      <c r="N53" s="238"/>
      <c r="O53" s="238"/>
      <c r="P53" s="238"/>
      <c r="Q53" s="238"/>
      <c r="R53" s="239"/>
      <c r="S53" s="237"/>
      <c r="T53" s="238"/>
      <c r="U53" s="238"/>
      <c r="V53" s="238"/>
      <c r="W53" s="238"/>
      <c r="X53" s="239"/>
      <c r="Y53" s="237"/>
      <c r="Z53" s="238"/>
      <c r="AA53" s="238"/>
      <c r="AB53" s="238"/>
      <c r="AC53" s="238"/>
      <c r="AD53" s="239"/>
      <c r="AE53" s="237"/>
      <c r="AF53" s="238"/>
      <c r="AG53" s="238"/>
      <c r="AH53" s="238"/>
      <c r="AI53" s="238"/>
      <c r="AJ53" s="239"/>
      <c r="AK53" s="237"/>
      <c r="AL53" s="238"/>
      <c r="AM53" s="238"/>
      <c r="AN53" s="238"/>
      <c r="AO53" s="238"/>
      <c r="AP53" s="239"/>
      <c r="AQ53" s="237"/>
      <c r="AR53" s="238"/>
      <c r="AS53" s="238"/>
      <c r="AT53" s="238"/>
      <c r="AU53" s="238"/>
      <c r="AV53" s="239"/>
      <c r="AW53" s="237"/>
      <c r="AX53" s="238"/>
      <c r="AY53" s="238"/>
      <c r="AZ53" s="238"/>
      <c r="BA53" s="238"/>
      <c r="BB53" s="239"/>
      <c r="BC53" s="237"/>
      <c r="BD53" s="238"/>
      <c r="BE53" s="238"/>
      <c r="BF53" s="238"/>
      <c r="BG53" s="238"/>
      <c r="BH53" s="239"/>
      <c r="BI53" s="237"/>
      <c r="BJ53" s="238"/>
      <c r="BK53" s="238"/>
      <c r="BL53" s="238"/>
      <c r="BM53" s="238"/>
      <c r="BN53" s="239"/>
      <c r="BO53" s="237"/>
      <c r="BP53" s="238"/>
      <c r="BQ53" s="238"/>
      <c r="BR53" s="238"/>
      <c r="BS53" s="238"/>
      <c r="BT53" s="239"/>
      <c r="BU53" s="237"/>
      <c r="BV53" s="238"/>
      <c r="BW53" s="238"/>
      <c r="BX53" s="238"/>
      <c r="BY53" s="238"/>
      <c r="BZ53" s="239"/>
      <c r="CA53" s="237"/>
      <c r="CB53" s="238"/>
      <c r="CC53" s="238"/>
      <c r="CD53" s="238"/>
      <c r="CE53" s="238"/>
      <c r="CF53" s="239"/>
      <c r="CG53" s="237"/>
      <c r="CH53" s="238"/>
      <c r="CI53" s="238"/>
      <c r="CJ53" s="238"/>
      <c r="CK53" s="238"/>
      <c r="CL53" s="239"/>
      <c r="CM53" s="237"/>
      <c r="CN53" s="238"/>
      <c r="CO53" s="238"/>
      <c r="CP53" s="238"/>
      <c r="CQ53" s="238"/>
      <c r="CR53" s="239"/>
      <c r="CS53" s="237"/>
      <c r="CT53" s="238"/>
      <c r="CU53" s="238"/>
      <c r="CV53" s="238"/>
      <c r="CW53" s="238"/>
      <c r="CX53" s="239"/>
      <c r="CY53" s="17"/>
      <c r="CZ53" s="17"/>
      <c r="DA53" s="17"/>
      <c r="DB53" s="17"/>
      <c r="DC53" s="17"/>
      <c r="DD53" s="17"/>
      <c r="DE53" s="17"/>
      <c r="DF53" s="17"/>
    </row>
    <row r="54" spans="1:110" ht="21.75" customHeight="1" x14ac:dyDescent="0.25">
      <c r="A54" s="17"/>
      <c r="B54" s="240"/>
      <c r="C54" s="240"/>
      <c r="D54" s="241"/>
      <c r="E54" s="241"/>
      <c r="F54" s="98"/>
      <c r="G54" s="229" t="s">
        <v>58</v>
      </c>
      <c r="H54" s="229"/>
      <c r="I54" s="229"/>
      <c r="J54" s="229"/>
      <c r="K54" s="99"/>
      <c r="L54" s="97"/>
      <c r="M54" s="237"/>
      <c r="N54" s="238"/>
      <c r="O54" s="238"/>
      <c r="P54" s="238"/>
      <c r="Q54" s="238"/>
      <c r="R54" s="239"/>
      <c r="S54" s="237"/>
      <c r="T54" s="238"/>
      <c r="U54" s="238"/>
      <c r="V54" s="238"/>
      <c r="W54" s="238"/>
      <c r="X54" s="239"/>
      <c r="Y54" s="237"/>
      <c r="Z54" s="238"/>
      <c r="AA54" s="238"/>
      <c r="AB54" s="238"/>
      <c r="AC54" s="238"/>
      <c r="AD54" s="239"/>
      <c r="AE54" s="237"/>
      <c r="AF54" s="238"/>
      <c r="AG54" s="238"/>
      <c r="AH54" s="238"/>
      <c r="AI54" s="238"/>
      <c r="AJ54" s="239"/>
      <c r="AK54" s="237"/>
      <c r="AL54" s="238"/>
      <c r="AM54" s="238"/>
      <c r="AN54" s="238"/>
      <c r="AO54" s="238"/>
      <c r="AP54" s="239"/>
      <c r="AQ54" s="237"/>
      <c r="AR54" s="238"/>
      <c r="AS54" s="238"/>
      <c r="AT54" s="238"/>
      <c r="AU54" s="238"/>
      <c r="AV54" s="239"/>
      <c r="AW54" s="237"/>
      <c r="AX54" s="238"/>
      <c r="AY54" s="238"/>
      <c r="AZ54" s="238"/>
      <c r="BA54" s="238"/>
      <c r="BB54" s="239"/>
      <c r="BC54" s="237"/>
      <c r="BD54" s="238"/>
      <c r="BE54" s="238"/>
      <c r="BF54" s="238"/>
      <c r="BG54" s="238"/>
      <c r="BH54" s="239"/>
      <c r="BI54" s="237"/>
      <c r="BJ54" s="238"/>
      <c r="BK54" s="238"/>
      <c r="BL54" s="238"/>
      <c r="BM54" s="238"/>
      <c r="BN54" s="239"/>
      <c r="BO54" s="237"/>
      <c r="BP54" s="238"/>
      <c r="BQ54" s="238"/>
      <c r="BR54" s="238"/>
      <c r="BS54" s="238"/>
      <c r="BT54" s="239"/>
      <c r="BU54" s="237"/>
      <c r="BV54" s="238"/>
      <c r="BW54" s="238"/>
      <c r="BX54" s="238"/>
      <c r="BY54" s="238"/>
      <c r="BZ54" s="239"/>
      <c r="CA54" s="237"/>
      <c r="CB54" s="238"/>
      <c r="CC54" s="238"/>
      <c r="CD54" s="238"/>
      <c r="CE54" s="238"/>
      <c r="CF54" s="239"/>
      <c r="CG54" s="237"/>
      <c r="CH54" s="238"/>
      <c r="CI54" s="238"/>
      <c r="CJ54" s="238"/>
      <c r="CK54" s="238"/>
      <c r="CL54" s="239"/>
      <c r="CM54" s="237"/>
      <c r="CN54" s="238"/>
      <c r="CO54" s="238"/>
      <c r="CP54" s="238"/>
      <c r="CQ54" s="238"/>
      <c r="CR54" s="239"/>
      <c r="CS54" s="237"/>
      <c r="CT54" s="238"/>
      <c r="CU54" s="238"/>
      <c r="CV54" s="238"/>
      <c r="CW54" s="238"/>
      <c r="CX54" s="239"/>
      <c r="CY54" s="51"/>
      <c r="CZ54" s="114"/>
      <c r="DA54" s="114"/>
      <c r="DB54" s="114"/>
      <c r="DC54" s="114"/>
      <c r="DD54" s="114"/>
      <c r="DE54" s="114"/>
      <c r="DF54" s="114"/>
    </row>
    <row r="55" spans="1:110" ht="21.75" customHeight="1" x14ac:dyDescent="0.25">
      <c r="A55" s="17"/>
      <c r="B55" s="200"/>
      <c r="C55" s="200"/>
      <c r="D55" s="195"/>
      <c r="E55" s="195"/>
      <c r="F55" s="101"/>
      <c r="G55" s="230"/>
      <c r="H55" s="230"/>
      <c r="I55" s="230"/>
      <c r="J55" s="230"/>
      <c r="K55" s="102"/>
      <c r="L55" s="103"/>
      <c r="M55" s="205"/>
      <c r="N55" s="206"/>
      <c r="O55" s="206"/>
      <c r="P55" s="206"/>
      <c r="Q55" s="206"/>
      <c r="R55" s="207"/>
      <c r="S55" s="205"/>
      <c r="T55" s="206"/>
      <c r="U55" s="206"/>
      <c r="V55" s="206"/>
      <c r="W55" s="206"/>
      <c r="X55" s="207"/>
      <c r="Y55" s="205"/>
      <c r="Z55" s="206"/>
      <c r="AA55" s="206"/>
      <c r="AB55" s="206"/>
      <c r="AC55" s="206"/>
      <c r="AD55" s="207"/>
      <c r="AE55" s="205"/>
      <c r="AF55" s="206"/>
      <c r="AG55" s="206"/>
      <c r="AH55" s="206"/>
      <c r="AI55" s="206"/>
      <c r="AJ55" s="207"/>
      <c r="AK55" s="205"/>
      <c r="AL55" s="206"/>
      <c r="AM55" s="206"/>
      <c r="AN55" s="206"/>
      <c r="AO55" s="206"/>
      <c r="AP55" s="207"/>
      <c r="AQ55" s="205"/>
      <c r="AR55" s="206"/>
      <c r="AS55" s="206"/>
      <c r="AT55" s="206"/>
      <c r="AU55" s="206"/>
      <c r="AV55" s="207"/>
      <c r="AW55" s="205"/>
      <c r="AX55" s="206"/>
      <c r="AY55" s="206"/>
      <c r="AZ55" s="206"/>
      <c r="BA55" s="206"/>
      <c r="BB55" s="207"/>
      <c r="BC55" s="205"/>
      <c r="BD55" s="206"/>
      <c r="BE55" s="206"/>
      <c r="BF55" s="206"/>
      <c r="BG55" s="206"/>
      <c r="BH55" s="207"/>
      <c r="BI55" s="205"/>
      <c r="BJ55" s="206"/>
      <c r="BK55" s="206"/>
      <c r="BL55" s="206"/>
      <c r="BM55" s="206"/>
      <c r="BN55" s="207"/>
      <c r="BO55" s="205"/>
      <c r="BP55" s="206"/>
      <c r="BQ55" s="206"/>
      <c r="BR55" s="206"/>
      <c r="BS55" s="206"/>
      <c r="BT55" s="207"/>
      <c r="BU55" s="205"/>
      <c r="BV55" s="206"/>
      <c r="BW55" s="206"/>
      <c r="BX55" s="206"/>
      <c r="BY55" s="206"/>
      <c r="BZ55" s="207"/>
      <c r="CA55" s="205"/>
      <c r="CB55" s="206"/>
      <c r="CC55" s="206"/>
      <c r="CD55" s="206"/>
      <c r="CE55" s="206"/>
      <c r="CF55" s="207"/>
      <c r="CG55" s="205"/>
      <c r="CH55" s="206"/>
      <c r="CI55" s="206"/>
      <c r="CJ55" s="206"/>
      <c r="CK55" s="206"/>
      <c r="CL55" s="207"/>
      <c r="CM55" s="205"/>
      <c r="CN55" s="206"/>
      <c r="CO55" s="206"/>
      <c r="CP55" s="206"/>
      <c r="CQ55" s="206"/>
      <c r="CR55" s="207"/>
      <c r="CS55" s="205"/>
      <c r="CT55" s="206"/>
      <c r="CU55" s="206"/>
      <c r="CV55" s="206"/>
      <c r="CW55" s="206"/>
      <c r="CX55" s="207"/>
      <c r="CY55" s="51"/>
      <c r="CZ55" s="114"/>
      <c r="DA55" s="114"/>
      <c r="DB55" s="114"/>
      <c r="DC55" s="114"/>
      <c r="DD55" s="114"/>
      <c r="DE55" s="114"/>
      <c r="DF55" s="114"/>
    </row>
    <row r="56" spans="1:110" s="65" customFormat="1" ht="15.75" customHeight="1" x14ac:dyDescent="0.25">
      <c r="A56" s="51"/>
      <c r="B56" s="31">
        <v>1</v>
      </c>
      <c r="C56" s="30">
        <f t="shared" ref="C56:C70" si="0">MAX($M79:$CX79)</f>
        <v>0</v>
      </c>
      <c r="D56" s="39" t="str">
        <f t="shared" ref="D56:D70" si="1">IF(ISNUMBER($E56), ($E56/SUM($E$56:$E$70))*100, "")</f>
        <v/>
      </c>
      <c r="E56" s="112" t="str">
        <f>IF('House of Quality 1'!$H64&lt;&gt;0, 'House of Quality 1'!$H64,"")</f>
        <v/>
      </c>
      <c r="F56" s="234" t="str">
        <f>IF('House of Quality 1'!$H49&lt;&gt;"", 'House of Quality 1'!$H49,"")</f>
        <v/>
      </c>
      <c r="G56" s="235"/>
      <c r="H56" s="235"/>
      <c r="I56" s="235"/>
      <c r="J56" s="235"/>
      <c r="K56" s="235"/>
      <c r="L56" s="236"/>
      <c r="M56" s="185"/>
      <c r="N56" s="186"/>
      <c r="O56" s="186"/>
      <c r="P56" s="186"/>
      <c r="Q56" s="186"/>
      <c r="R56" s="187"/>
      <c r="S56" s="185"/>
      <c r="T56" s="186"/>
      <c r="U56" s="186"/>
      <c r="V56" s="186"/>
      <c r="W56" s="186"/>
      <c r="X56" s="187"/>
      <c r="Y56" s="185"/>
      <c r="Z56" s="186"/>
      <c r="AA56" s="186"/>
      <c r="AB56" s="186"/>
      <c r="AC56" s="186"/>
      <c r="AD56" s="187"/>
      <c r="AE56" s="185"/>
      <c r="AF56" s="186"/>
      <c r="AG56" s="186"/>
      <c r="AH56" s="186"/>
      <c r="AI56" s="186"/>
      <c r="AJ56" s="187"/>
      <c r="AK56" s="185"/>
      <c r="AL56" s="186"/>
      <c r="AM56" s="186"/>
      <c r="AN56" s="186"/>
      <c r="AO56" s="186"/>
      <c r="AP56" s="187"/>
      <c r="AQ56" s="185"/>
      <c r="AR56" s="186"/>
      <c r="AS56" s="186"/>
      <c r="AT56" s="186"/>
      <c r="AU56" s="186"/>
      <c r="AV56" s="187"/>
      <c r="AW56" s="185"/>
      <c r="AX56" s="186"/>
      <c r="AY56" s="186"/>
      <c r="AZ56" s="186"/>
      <c r="BA56" s="186"/>
      <c r="BB56" s="187"/>
      <c r="BC56" s="185"/>
      <c r="BD56" s="186"/>
      <c r="BE56" s="186"/>
      <c r="BF56" s="186"/>
      <c r="BG56" s="186"/>
      <c r="BH56" s="187"/>
      <c r="BI56" s="185"/>
      <c r="BJ56" s="186"/>
      <c r="BK56" s="186"/>
      <c r="BL56" s="186"/>
      <c r="BM56" s="186"/>
      <c r="BN56" s="187"/>
      <c r="BO56" s="185"/>
      <c r="BP56" s="186"/>
      <c r="BQ56" s="186"/>
      <c r="BR56" s="186"/>
      <c r="BS56" s="186"/>
      <c r="BT56" s="187"/>
      <c r="BU56" s="185"/>
      <c r="BV56" s="186"/>
      <c r="BW56" s="186"/>
      <c r="BX56" s="186"/>
      <c r="BY56" s="186"/>
      <c r="BZ56" s="187"/>
      <c r="CA56" s="185"/>
      <c r="CB56" s="186"/>
      <c r="CC56" s="186"/>
      <c r="CD56" s="186"/>
      <c r="CE56" s="186"/>
      <c r="CF56" s="187"/>
      <c r="CG56" s="185"/>
      <c r="CH56" s="186"/>
      <c r="CI56" s="186"/>
      <c r="CJ56" s="186"/>
      <c r="CK56" s="186"/>
      <c r="CL56" s="187"/>
      <c r="CM56" s="185"/>
      <c r="CN56" s="186"/>
      <c r="CO56" s="186"/>
      <c r="CP56" s="186"/>
      <c r="CQ56" s="186"/>
      <c r="CR56" s="187"/>
      <c r="CS56" s="212"/>
      <c r="CT56" s="212"/>
      <c r="CU56" s="212"/>
      <c r="CV56" s="212"/>
      <c r="CW56" s="212"/>
      <c r="CX56" s="212"/>
      <c r="CY56" s="51"/>
      <c r="CZ56" s="114"/>
      <c r="DA56" s="114"/>
      <c r="DB56" s="114"/>
      <c r="DC56" s="114"/>
      <c r="DD56" s="114"/>
      <c r="DE56" s="114"/>
      <c r="DF56" s="114"/>
    </row>
    <row r="57" spans="1:110" s="65" customFormat="1" ht="15.75" customHeight="1" x14ac:dyDescent="0.25">
      <c r="A57" s="51"/>
      <c r="B57" s="31">
        <v>2</v>
      </c>
      <c r="C57" s="30">
        <f t="shared" si="0"/>
        <v>0</v>
      </c>
      <c r="D57" s="39" t="str">
        <f t="shared" si="1"/>
        <v/>
      </c>
      <c r="E57" s="112" t="str">
        <f>IF('House of Quality 1'!$N64&lt;&gt;0,'House of Quality 1'!$N64, "")</f>
        <v/>
      </c>
      <c r="F57" s="234" t="str">
        <f>IF('House of Quality 1'!$N49&lt;&gt;"",'House of Quality 1'!$N49, "")</f>
        <v/>
      </c>
      <c r="G57" s="235"/>
      <c r="H57" s="235"/>
      <c r="I57" s="235"/>
      <c r="J57" s="235"/>
      <c r="K57" s="235"/>
      <c r="L57" s="236"/>
      <c r="M57" s="185"/>
      <c r="N57" s="186"/>
      <c r="O57" s="186"/>
      <c r="P57" s="186"/>
      <c r="Q57" s="186"/>
      <c r="R57" s="187"/>
      <c r="S57" s="185"/>
      <c r="T57" s="186"/>
      <c r="U57" s="186"/>
      <c r="V57" s="186"/>
      <c r="W57" s="186"/>
      <c r="X57" s="187"/>
      <c r="Y57" s="185"/>
      <c r="Z57" s="186"/>
      <c r="AA57" s="186"/>
      <c r="AB57" s="186"/>
      <c r="AC57" s="186"/>
      <c r="AD57" s="187"/>
      <c r="AE57" s="185"/>
      <c r="AF57" s="186"/>
      <c r="AG57" s="186"/>
      <c r="AH57" s="186"/>
      <c r="AI57" s="186"/>
      <c r="AJ57" s="187"/>
      <c r="AK57" s="185"/>
      <c r="AL57" s="186"/>
      <c r="AM57" s="186"/>
      <c r="AN57" s="186"/>
      <c r="AO57" s="186"/>
      <c r="AP57" s="187"/>
      <c r="AQ57" s="185"/>
      <c r="AR57" s="186"/>
      <c r="AS57" s="186"/>
      <c r="AT57" s="186"/>
      <c r="AU57" s="186"/>
      <c r="AV57" s="187"/>
      <c r="AW57" s="185"/>
      <c r="AX57" s="186"/>
      <c r="AY57" s="186"/>
      <c r="AZ57" s="186"/>
      <c r="BA57" s="186"/>
      <c r="BB57" s="187"/>
      <c r="BC57" s="185"/>
      <c r="BD57" s="186"/>
      <c r="BE57" s="186"/>
      <c r="BF57" s="186"/>
      <c r="BG57" s="186"/>
      <c r="BH57" s="187"/>
      <c r="BI57" s="185"/>
      <c r="BJ57" s="186"/>
      <c r="BK57" s="186"/>
      <c r="BL57" s="186"/>
      <c r="BM57" s="186"/>
      <c r="BN57" s="187"/>
      <c r="BO57" s="185"/>
      <c r="BP57" s="186"/>
      <c r="BQ57" s="186"/>
      <c r="BR57" s="186"/>
      <c r="BS57" s="186"/>
      <c r="BT57" s="187"/>
      <c r="BU57" s="185"/>
      <c r="BV57" s="186"/>
      <c r="BW57" s="186"/>
      <c r="BX57" s="186"/>
      <c r="BY57" s="186"/>
      <c r="BZ57" s="187"/>
      <c r="CA57" s="185"/>
      <c r="CB57" s="186"/>
      <c r="CC57" s="186"/>
      <c r="CD57" s="186"/>
      <c r="CE57" s="186"/>
      <c r="CF57" s="187"/>
      <c r="CG57" s="185"/>
      <c r="CH57" s="186"/>
      <c r="CI57" s="186"/>
      <c r="CJ57" s="186"/>
      <c r="CK57" s="186"/>
      <c r="CL57" s="187"/>
      <c r="CM57" s="185"/>
      <c r="CN57" s="186"/>
      <c r="CO57" s="186"/>
      <c r="CP57" s="186"/>
      <c r="CQ57" s="186"/>
      <c r="CR57" s="187"/>
      <c r="CS57" s="185"/>
      <c r="CT57" s="186"/>
      <c r="CU57" s="186"/>
      <c r="CV57" s="186"/>
      <c r="CW57" s="186"/>
      <c r="CX57" s="187"/>
      <c r="CY57" s="51"/>
      <c r="CZ57" s="114"/>
      <c r="DA57" s="114"/>
      <c r="DB57" s="114"/>
      <c r="DC57" s="114"/>
      <c r="DD57" s="114"/>
      <c r="DE57" s="114"/>
      <c r="DF57" s="114"/>
    </row>
    <row r="58" spans="1:110" s="65" customFormat="1" ht="15.75" customHeight="1" x14ac:dyDescent="0.25">
      <c r="A58" s="51"/>
      <c r="B58" s="31">
        <v>3</v>
      </c>
      <c r="C58" s="30">
        <f t="shared" si="0"/>
        <v>0</v>
      </c>
      <c r="D58" s="39" t="str">
        <f t="shared" si="1"/>
        <v/>
      </c>
      <c r="E58" s="112" t="str">
        <f>IF('House of Quality 1'!$T64&lt;&gt;0,'House of Quality 1'!$T64,"")</f>
        <v/>
      </c>
      <c r="F58" s="234" t="str">
        <f>IF('House of Quality 1'!$T49&lt;&gt;"",'House of Quality 1'!$T49,"")</f>
        <v/>
      </c>
      <c r="G58" s="235"/>
      <c r="H58" s="235"/>
      <c r="I58" s="235"/>
      <c r="J58" s="235"/>
      <c r="K58" s="235"/>
      <c r="L58" s="236"/>
      <c r="M58" s="185"/>
      <c r="N58" s="186"/>
      <c r="O58" s="186"/>
      <c r="P58" s="186"/>
      <c r="Q58" s="186"/>
      <c r="R58" s="187"/>
      <c r="S58" s="185"/>
      <c r="T58" s="186"/>
      <c r="U58" s="186"/>
      <c r="V58" s="186"/>
      <c r="W58" s="186"/>
      <c r="X58" s="187"/>
      <c r="Y58" s="185"/>
      <c r="Z58" s="186"/>
      <c r="AA58" s="186"/>
      <c r="AB58" s="186"/>
      <c r="AC58" s="186"/>
      <c r="AD58" s="187"/>
      <c r="AE58" s="185"/>
      <c r="AF58" s="186"/>
      <c r="AG58" s="186"/>
      <c r="AH58" s="186"/>
      <c r="AI58" s="186"/>
      <c r="AJ58" s="187"/>
      <c r="AK58" s="185"/>
      <c r="AL58" s="186"/>
      <c r="AM58" s="186"/>
      <c r="AN58" s="186"/>
      <c r="AO58" s="186"/>
      <c r="AP58" s="187"/>
      <c r="AQ58" s="185"/>
      <c r="AR58" s="186"/>
      <c r="AS58" s="186"/>
      <c r="AT58" s="186"/>
      <c r="AU58" s="186"/>
      <c r="AV58" s="187"/>
      <c r="AW58" s="185"/>
      <c r="AX58" s="186"/>
      <c r="AY58" s="186"/>
      <c r="AZ58" s="186"/>
      <c r="BA58" s="186"/>
      <c r="BB58" s="187"/>
      <c r="BC58" s="185"/>
      <c r="BD58" s="186"/>
      <c r="BE58" s="186"/>
      <c r="BF58" s="186"/>
      <c r="BG58" s="186"/>
      <c r="BH58" s="187"/>
      <c r="BI58" s="185"/>
      <c r="BJ58" s="186"/>
      <c r="BK58" s="186"/>
      <c r="BL58" s="186"/>
      <c r="BM58" s="186"/>
      <c r="BN58" s="187"/>
      <c r="BO58" s="185"/>
      <c r="BP58" s="186"/>
      <c r="BQ58" s="186"/>
      <c r="BR58" s="186"/>
      <c r="BS58" s="186"/>
      <c r="BT58" s="187"/>
      <c r="BU58" s="185"/>
      <c r="BV58" s="186"/>
      <c r="BW58" s="186"/>
      <c r="BX58" s="186"/>
      <c r="BY58" s="186"/>
      <c r="BZ58" s="187"/>
      <c r="CA58" s="185"/>
      <c r="CB58" s="186"/>
      <c r="CC58" s="186"/>
      <c r="CD58" s="186"/>
      <c r="CE58" s="186"/>
      <c r="CF58" s="187"/>
      <c r="CG58" s="185"/>
      <c r="CH58" s="186"/>
      <c r="CI58" s="186"/>
      <c r="CJ58" s="186"/>
      <c r="CK58" s="186"/>
      <c r="CL58" s="187"/>
      <c r="CM58" s="185"/>
      <c r="CN58" s="186"/>
      <c r="CO58" s="186"/>
      <c r="CP58" s="186"/>
      <c r="CQ58" s="186"/>
      <c r="CR58" s="187"/>
      <c r="CS58" s="185"/>
      <c r="CT58" s="186"/>
      <c r="CU58" s="186"/>
      <c r="CV58" s="186"/>
      <c r="CW58" s="186"/>
      <c r="CX58" s="187"/>
      <c r="CY58" s="51"/>
      <c r="CZ58" s="114"/>
      <c r="DA58" s="114"/>
      <c r="DB58" s="114"/>
      <c r="DC58" s="114"/>
      <c r="DD58" s="114"/>
      <c r="DE58" s="114"/>
      <c r="DF58" s="114"/>
    </row>
    <row r="59" spans="1:110" s="65" customFormat="1" ht="15.75" customHeight="1" x14ac:dyDescent="0.25">
      <c r="A59" s="51"/>
      <c r="B59" s="31">
        <v>4</v>
      </c>
      <c r="C59" s="30">
        <f t="shared" si="0"/>
        <v>0</v>
      </c>
      <c r="D59" s="39" t="str">
        <f t="shared" si="1"/>
        <v/>
      </c>
      <c r="E59" s="112" t="str">
        <f>IF('House of Quality 1'!$Z64&lt;&gt;0,'House of Quality 1'!$Z64,"")</f>
        <v/>
      </c>
      <c r="F59" s="234" t="str">
        <f>IF('House of Quality 1'!$Z49&lt;&gt;"",'House of Quality 1'!$Z49,"")</f>
        <v/>
      </c>
      <c r="G59" s="235"/>
      <c r="H59" s="235"/>
      <c r="I59" s="235"/>
      <c r="J59" s="235"/>
      <c r="K59" s="235"/>
      <c r="L59" s="236"/>
      <c r="M59" s="185"/>
      <c r="N59" s="186"/>
      <c r="O59" s="186"/>
      <c r="P59" s="186"/>
      <c r="Q59" s="186"/>
      <c r="R59" s="187"/>
      <c r="S59" s="185"/>
      <c r="T59" s="186"/>
      <c r="U59" s="186"/>
      <c r="V59" s="186"/>
      <c r="W59" s="186"/>
      <c r="X59" s="187"/>
      <c r="Y59" s="185"/>
      <c r="Z59" s="186"/>
      <c r="AA59" s="186"/>
      <c r="AB59" s="186"/>
      <c r="AC59" s="186"/>
      <c r="AD59" s="187"/>
      <c r="AE59" s="185"/>
      <c r="AF59" s="186"/>
      <c r="AG59" s="186"/>
      <c r="AH59" s="186"/>
      <c r="AI59" s="186"/>
      <c r="AJ59" s="187"/>
      <c r="AK59" s="185"/>
      <c r="AL59" s="186"/>
      <c r="AM59" s="186"/>
      <c r="AN59" s="186"/>
      <c r="AO59" s="186"/>
      <c r="AP59" s="187"/>
      <c r="AQ59" s="185"/>
      <c r="AR59" s="186"/>
      <c r="AS59" s="186"/>
      <c r="AT59" s="186"/>
      <c r="AU59" s="186"/>
      <c r="AV59" s="187"/>
      <c r="AW59" s="185"/>
      <c r="AX59" s="186"/>
      <c r="AY59" s="186"/>
      <c r="AZ59" s="186"/>
      <c r="BA59" s="186"/>
      <c r="BB59" s="187"/>
      <c r="BC59" s="185"/>
      <c r="BD59" s="186"/>
      <c r="BE59" s="186"/>
      <c r="BF59" s="186"/>
      <c r="BG59" s="186"/>
      <c r="BH59" s="187"/>
      <c r="BI59" s="185"/>
      <c r="BJ59" s="186"/>
      <c r="BK59" s="186"/>
      <c r="BL59" s="186"/>
      <c r="BM59" s="186"/>
      <c r="BN59" s="187"/>
      <c r="BO59" s="185"/>
      <c r="BP59" s="186"/>
      <c r="BQ59" s="186"/>
      <c r="BR59" s="186"/>
      <c r="BS59" s="186"/>
      <c r="BT59" s="187"/>
      <c r="BU59" s="185"/>
      <c r="BV59" s="186"/>
      <c r="BW59" s="186"/>
      <c r="BX59" s="186"/>
      <c r="BY59" s="186"/>
      <c r="BZ59" s="187"/>
      <c r="CA59" s="185"/>
      <c r="CB59" s="186"/>
      <c r="CC59" s="186"/>
      <c r="CD59" s="186"/>
      <c r="CE59" s="186"/>
      <c r="CF59" s="187"/>
      <c r="CG59" s="185"/>
      <c r="CH59" s="186"/>
      <c r="CI59" s="186"/>
      <c r="CJ59" s="186"/>
      <c r="CK59" s="186"/>
      <c r="CL59" s="187"/>
      <c r="CM59" s="185"/>
      <c r="CN59" s="186"/>
      <c r="CO59" s="186"/>
      <c r="CP59" s="186"/>
      <c r="CQ59" s="186"/>
      <c r="CR59" s="187"/>
      <c r="CS59" s="185"/>
      <c r="CT59" s="186"/>
      <c r="CU59" s="186"/>
      <c r="CV59" s="186"/>
      <c r="CW59" s="186"/>
      <c r="CX59" s="187"/>
      <c r="CY59" s="51"/>
      <c r="CZ59" s="114"/>
      <c r="DA59" s="114"/>
      <c r="DB59" s="114"/>
      <c r="DC59" s="114"/>
      <c r="DD59" s="114"/>
      <c r="DE59" s="114"/>
      <c r="DF59" s="114"/>
    </row>
    <row r="60" spans="1:110" s="65" customFormat="1" ht="15.75" customHeight="1" x14ac:dyDescent="0.25">
      <c r="A60" s="51"/>
      <c r="B60" s="31">
        <v>5</v>
      </c>
      <c r="C60" s="30">
        <f t="shared" si="0"/>
        <v>0</v>
      </c>
      <c r="D60" s="39" t="str">
        <f t="shared" si="1"/>
        <v/>
      </c>
      <c r="E60" s="112" t="str">
        <f>IF('House of Quality 1'!$AF64&lt;&gt;0,'House of Quality 1'!$AF64,"")</f>
        <v/>
      </c>
      <c r="F60" s="234" t="str">
        <f>IF('House of Quality 1'!$AF49&lt;&gt;"",'House of Quality 1'!$AF49,"")</f>
        <v/>
      </c>
      <c r="G60" s="235"/>
      <c r="H60" s="235"/>
      <c r="I60" s="235"/>
      <c r="J60" s="235"/>
      <c r="K60" s="235"/>
      <c r="L60" s="236"/>
      <c r="M60" s="185"/>
      <c r="N60" s="186"/>
      <c r="O60" s="186"/>
      <c r="P60" s="186"/>
      <c r="Q60" s="186"/>
      <c r="R60" s="187"/>
      <c r="S60" s="185"/>
      <c r="T60" s="186"/>
      <c r="U60" s="186"/>
      <c r="V60" s="186"/>
      <c r="W60" s="186"/>
      <c r="X60" s="187"/>
      <c r="Y60" s="185"/>
      <c r="Z60" s="186"/>
      <c r="AA60" s="186"/>
      <c r="AB60" s="186"/>
      <c r="AC60" s="186"/>
      <c r="AD60" s="187"/>
      <c r="AE60" s="185"/>
      <c r="AF60" s="186"/>
      <c r="AG60" s="186"/>
      <c r="AH60" s="186"/>
      <c r="AI60" s="186"/>
      <c r="AJ60" s="187"/>
      <c r="AK60" s="185"/>
      <c r="AL60" s="186"/>
      <c r="AM60" s="186"/>
      <c r="AN60" s="186"/>
      <c r="AO60" s="186"/>
      <c r="AP60" s="187"/>
      <c r="AQ60" s="185"/>
      <c r="AR60" s="186"/>
      <c r="AS60" s="186"/>
      <c r="AT60" s="186"/>
      <c r="AU60" s="186"/>
      <c r="AV60" s="187"/>
      <c r="AW60" s="185"/>
      <c r="AX60" s="186"/>
      <c r="AY60" s="186"/>
      <c r="AZ60" s="186"/>
      <c r="BA60" s="186"/>
      <c r="BB60" s="187"/>
      <c r="BC60" s="185"/>
      <c r="BD60" s="186"/>
      <c r="BE60" s="186"/>
      <c r="BF60" s="186"/>
      <c r="BG60" s="186"/>
      <c r="BH60" s="187"/>
      <c r="BI60" s="185"/>
      <c r="BJ60" s="186"/>
      <c r="BK60" s="186"/>
      <c r="BL60" s="186"/>
      <c r="BM60" s="186"/>
      <c r="BN60" s="187"/>
      <c r="BO60" s="185"/>
      <c r="BP60" s="186"/>
      <c r="BQ60" s="186"/>
      <c r="BR60" s="186"/>
      <c r="BS60" s="186"/>
      <c r="BT60" s="187"/>
      <c r="BU60" s="185"/>
      <c r="BV60" s="186"/>
      <c r="BW60" s="186"/>
      <c r="BX60" s="186"/>
      <c r="BY60" s="186"/>
      <c r="BZ60" s="187"/>
      <c r="CA60" s="185"/>
      <c r="CB60" s="186"/>
      <c r="CC60" s="186"/>
      <c r="CD60" s="186"/>
      <c r="CE60" s="186"/>
      <c r="CF60" s="187"/>
      <c r="CG60" s="185"/>
      <c r="CH60" s="186"/>
      <c r="CI60" s="186"/>
      <c r="CJ60" s="186"/>
      <c r="CK60" s="186"/>
      <c r="CL60" s="187"/>
      <c r="CM60" s="185"/>
      <c r="CN60" s="186"/>
      <c r="CO60" s="186"/>
      <c r="CP60" s="186"/>
      <c r="CQ60" s="186"/>
      <c r="CR60" s="187"/>
      <c r="CS60" s="185"/>
      <c r="CT60" s="186"/>
      <c r="CU60" s="186"/>
      <c r="CV60" s="186"/>
      <c r="CW60" s="186"/>
      <c r="CX60" s="187"/>
      <c r="CY60" s="51"/>
      <c r="CZ60" s="114"/>
      <c r="DA60" s="114"/>
      <c r="DB60" s="114"/>
      <c r="DC60" s="114"/>
      <c r="DD60" s="114"/>
      <c r="DE60" s="114"/>
      <c r="DF60" s="114"/>
    </row>
    <row r="61" spans="1:110" s="65" customFormat="1" ht="15.75" customHeight="1" x14ac:dyDescent="0.25">
      <c r="A61" s="51"/>
      <c r="B61" s="31">
        <v>6</v>
      </c>
      <c r="C61" s="30">
        <f t="shared" si="0"/>
        <v>0</v>
      </c>
      <c r="D61" s="39" t="str">
        <f t="shared" si="1"/>
        <v/>
      </c>
      <c r="E61" s="112" t="str">
        <f>IF('House of Quality 1'!$AL64&lt;&gt;0,'House of Quality 1'!$AL64,"")</f>
        <v/>
      </c>
      <c r="F61" s="234" t="str">
        <f>IF('House of Quality 1'!$AL49&lt;&gt;"",'House of Quality 1'!$AL49,"")</f>
        <v/>
      </c>
      <c r="G61" s="235"/>
      <c r="H61" s="235"/>
      <c r="I61" s="235"/>
      <c r="J61" s="235"/>
      <c r="K61" s="235"/>
      <c r="L61" s="236"/>
      <c r="M61" s="185"/>
      <c r="N61" s="186"/>
      <c r="O61" s="186"/>
      <c r="P61" s="186"/>
      <c r="Q61" s="186"/>
      <c r="R61" s="187"/>
      <c r="S61" s="185"/>
      <c r="T61" s="186"/>
      <c r="U61" s="186"/>
      <c r="V61" s="186"/>
      <c r="W61" s="186"/>
      <c r="X61" s="187"/>
      <c r="Y61" s="185"/>
      <c r="Z61" s="186"/>
      <c r="AA61" s="186"/>
      <c r="AB61" s="186"/>
      <c r="AC61" s="186"/>
      <c r="AD61" s="187"/>
      <c r="AE61" s="185"/>
      <c r="AF61" s="186"/>
      <c r="AG61" s="186"/>
      <c r="AH61" s="186"/>
      <c r="AI61" s="186"/>
      <c r="AJ61" s="187"/>
      <c r="AK61" s="185"/>
      <c r="AL61" s="186"/>
      <c r="AM61" s="186"/>
      <c r="AN61" s="186"/>
      <c r="AO61" s="186"/>
      <c r="AP61" s="187"/>
      <c r="AQ61" s="185"/>
      <c r="AR61" s="186"/>
      <c r="AS61" s="186"/>
      <c r="AT61" s="186"/>
      <c r="AU61" s="186"/>
      <c r="AV61" s="187"/>
      <c r="AW61" s="185"/>
      <c r="AX61" s="186"/>
      <c r="AY61" s="186"/>
      <c r="AZ61" s="186"/>
      <c r="BA61" s="186"/>
      <c r="BB61" s="187"/>
      <c r="BC61" s="185"/>
      <c r="BD61" s="186"/>
      <c r="BE61" s="186"/>
      <c r="BF61" s="186"/>
      <c r="BG61" s="186"/>
      <c r="BH61" s="187"/>
      <c r="BI61" s="185"/>
      <c r="BJ61" s="186"/>
      <c r="BK61" s="186"/>
      <c r="BL61" s="186"/>
      <c r="BM61" s="186"/>
      <c r="BN61" s="187"/>
      <c r="BO61" s="185"/>
      <c r="BP61" s="186"/>
      <c r="BQ61" s="186"/>
      <c r="BR61" s="186"/>
      <c r="BS61" s="186"/>
      <c r="BT61" s="187"/>
      <c r="BU61" s="185"/>
      <c r="BV61" s="186"/>
      <c r="BW61" s="186"/>
      <c r="BX61" s="186"/>
      <c r="BY61" s="186"/>
      <c r="BZ61" s="187"/>
      <c r="CA61" s="185"/>
      <c r="CB61" s="186"/>
      <c r="CC61" s="186"/>
      <c r="CD61" s="186"/>
      <c r="CE61" s="186"/>
      <c r="CF61" s="187"/>
      <c r="CG61" s="185"/>
      <c r="CH61" s="186"/>
      <c r="CI61" s="186"/>
      <c r="CJ61" s="186"/>
      <c r="CK61" s="186"/>
      <c r="CL61" s="187"/>
      <c r="CM61" s="185"/>
      <c r="CN61" s="186"/>
      <c r="CO61" s="186"/>
      <c r="CP61" s="186"/>
      <c r="CQ61" s="186"/>
      <c r="CR61" s="187"/>
      <c r="CS61" s="185"/>
      <c r="CT61" s="186"/>
      <c r="CU61" s="186"/>
      <c r="CV61" s="186"/>
      <c r="CW61" s="186"/>
      <c r="CX61" s="187"/>
      <c r="CY61" s="51"/>
      <c r="CZ61" s="114"/>
      <c r="DA61" s="114"/>
      <c r="DB61" s="114"/>
      <c r="DC61" s="114"/>
      <c r="DD61" s="114"/>
      <c r="DE61" s="114"/>
      <c r="DF61" s="114"/>
    </row>
    <row r="62" spans="1:110" s="65" customFormat="1" ht="15.75" customHeight="1" x14ac:dyDescent="0.25">
      <c r="A62" s="51"/>
      <c r="B62" s="31">
        <v>7</v>
      </c>
      <c r="C62" s="30">
        <f t="shared" si="0"/>
        <v>0</v>
      </c>
      <c r="D62" s="39" t="str">
        <f t="shared" si="1"/>
        <v/>
      </c>
      <c r="E62" s="112" t="str">
        <f>IF('House of Quality 1'!$AR64&lt;&gt;0,'House of Quality 1'!$AR64,"")</f>
        <v/>
      </c>
      <c r="F62" s="234" t="str">
        <f>IF('House of Quality 1'!$AR49&lt;&gt;"",'House of Quality 1'!$AR49,"")</f>
        <v/>
      </c>
      <c r="G62" s="235"/>
      <c r="H62" s="235"/>
      <c r="I62" s="235"/>
      <c r="J62" s="235"/>
      <c r="K62" s="235"/>
      <c r="L62" s="236"/>
      <c r="M62" s="185"/>
      <c r="N62" s="186"/>
      <c r="O62" s="186"/>
      <c r="P62" s="186"/>
      <c r="Q62" s="186"/>
      <c r="R62" s="187"/>
      <c r="S62" s="185"/>
      <c r="T62" s="186"/>
      <c r="U62" s="186"/>
      <c r="V62" s="186"/>
      <c r="W62" s="186"/>
      <c r="X62" s="187"/>
      <c r="Y62" s="185"/>
      <c r="Z62" s="186"/>
      <c r="AA62" s="186"/>
      <c r="AB62" s="186"/>
      <c r="AC62" s="186"/>
      <c r="AD62" s="187"/>
      <c r="AE62" s="185"/>
      <c r="AF62" s="186"/>
      <c r="AG62" s="186"/>
      <c r="AH62" s="186"/>
      <c r="AI62" s="186"/>
      <c r="AJ62" s="187"/>
      <c r="AK62" s="185"/>
      <c r="AL62" s="186"/>
      <c r="AM62" s="186"/>
      <c r="AN62" s="186"/>
      <c r="AO62" s="186"/>
      <c r="AP62" s="187"/>
      <c r="AQ62" s="185"/>
      <c r="AR62" s="186"/>
      <c r="AS62" s="186"/>
      <c r="AT62" s="186"/>
      <c r="AU62" s="186"/>
      <c r="AV62" s="187"/>
      <c r="AW62" s="185"/>
      <c r="AX62" s="186"/>
      <c r="AY62" s="186"/>
      <c r="AZ62" s="186"/>
      <c r="BA62" s="186"/>
      <c r="BB62" s="187"/>
      <c r="BC62" s="185"/>
      <c r="BD62" s="186"/>
      <c r="BE62" s="186"/>
      <c r="BF62" s="186"/>
      <c r="BG62" s="186"/>
      <c r="BH62" s="187"/>
      <c r="BI62" s="185"/>
      <c r="BJ62" s="186"/>
      <c r="BK62" s="186"/>
      <c r="BL62" s="186"/>
      <c r="BM62" s="186"/>
      <c r="BN62" s="187"/>
      <c r="BO62" s="185"/>
      <c r="BP62" s="186"/>
      <c r="BQ62" s="186"/>
      <c r="BR62" s="186"/>
      <c r="BS62" s="186"/>
      <c r="BT62" s="187"/>
      <c r="BU62" s="185"/>
      <c r="BV62" s="186"/>
      <c r="BW62" s="186"/>
      <c r="BX62" s="186"/>
      <c r="BY62" s="186"/>
      <c r="BZ62" s="187"/>
      <c r="CA62" s="185"/>
      <c r="CB62" s="186"/>
      <c r="CC62" s="186"/>
      <c r="CD62" s="186"/>
      <c r="CE62" s="186"/>
      <c r="CF62" s="187"/>
      <c r="CG62" s="185"/>
      <c r="CH62" s="186"/>
      <c r="CI62" s="186"/>
      <c r="CJ62" s="186"/>
      <c r="CK62" s="186"/>
      <c r="CL62" s="187"/>
      <c r="CM62" s="185"/>
      <c r="CN62" s="186"/>
      <c r="CO62" s="186"/>
      <c r="CP62" s="186"/>
      <c r="CQ62" s="186"/>
      <c r="CR62" s="187"/>
      <c r="CS62" s="185"/>
      <c r="CT62" s="186"/>
      <c r="CU62" s="186"/>
      <c r="CV62" s="186"/>
      <c r="CW62" s="186"/>
      <c r="CX62" s="187"/>
      <c r="CY62" s="51"/>
      <c r="CZ62" s="114"/>
      <c r="DA62" s="114"/>
      <c r="DB62" s="114"/>
      <c r="DC62" s="114"/>
      <c r="DD62" s="114"/>
      <c r="DE62" s="114"/>
      <c r="DF62" s="114"/>
    </row>
    <row r="63" spans="1:110" s="65" customFormat="1" ht="15.75" customHeight="1" x14ac:dyDescent="0.25">
      <c r="A63" s="51"/>
      <c r="B63" s="31">
        <v>8</v>
      </c>
      <c r="C63" s="30">
        <f t="shared" si="0"/>
        <v>0</v>
      </c>
      <c r="D63" s="39" t="str">
        <f t="shared" si="1"/>
        <v/>
      </c>
      <c r="E63" s="112" t="str">
        <f>IF('House of Quality 1'!$AX64&lt;&gt;0,'House of Quality 1'!$AX64,"")</f>
        <v/>
      </c>
      <c r="F63" s="234" t="str">
        <f>IF('House of Quality 1'!$AX49&lt;&gt;"",'House of Quality 1'!$AX49,"")</f>
        <v/>
      </c>
      <c r="G63" s="235"/>
      <c r="H63" s="235"/>
      <c r="I63" s="235"/>
      <c r="J63" s="235"/>
      <c r="K63" s="235"/>
      <c r="L63" s="236"/>
      <c r="M63" s="185"/>
      <c r="N63" s="186"/>
      <c r="O63" s="186"/>
      <c r="P63" s="186"/>
      <c r="Q63" s="186"/>
      <c r="R63" s="187"/>
      <c r="S63" s="185"/>
      <c r="T63" s="186"/>
      <c r="U63" s="186"/>
      <c r="V63" s="186"/>
      <c r="W63" s="186"/>
      <c r="X63" s="187"/>
      <c r="Y63" s="185"/>
      <c r="Z63" s="186"/>
      <c r="AA63" s="186"/>
      <c r="AB63" s="186"/>
      <c r="AC63" s="186"/>
      <c r="AD63" s="187"/>
      <c r="AE63" s="185"/>
      <c r="AF63" s="186"/>
      <c r="AG63" s="186"/>
      <c r="AH63" s="186"/>
      <c r="AI63" s="186"/>
      <c r="AJ63" s="187"/>
      <c r="AK63" s="185"/>
      <c r="AL63" s="186"/>
      <c r="AM63" s="186"/>
      <c r="AN63" s="186"/>
      <c r="AO63" s="186"/>
      <c r="AP63" s="187"/>
      <c r="AQ63" s="185"/>
      <c r="AR63" s="186"/>
      <c r="AS63" s="186"/>
      <c r="AT63" s="186"/>
      <c r="AU63" s="186"/>
      <c r="AV63" s="187"/>
      <c r="AW63" s="185"/>
      <c r="AX63" s="186"/>
      <c r="AY63" s="186"/>
      <c r="AZ63" s="186"/>
      <c r="BA63" s="186"/>
      <c r="BB63" s="187"/>
      <c r="BC63" s="185"/>
      <c r="BD63" s="186"/>
      <c r="BE63" s="186"/>
      <c r="BF63" s="186"/>
      <c r="BG63" s="186"/>
      <c r="BH63" s="187"/>
      <c r="BI63" s="185"/>
      <c r="BJ63" s="186"/>
      <c r="BK63" s="186"/>
      <c r="BL63" s="186"/>
      <c r="BM63" s="186"/>
      <c r="BN63" s="187"/>
      <c r="BO63" s="185"/>
      <c r="BP63" s="186"/>
      <c r="BQ63" s="186"/>
      <c r="BR63" s="186"/>
      <c r="BS63" s="186"/>
      <c r="BT63" s="187"/>
      <c r="BU63" s="185"/>
      <c r="BV63" s="186"/>
      <c r="BW63" s="186"/>
      <c r="BX63" s="186"/>
      <c r="BY63" s="186"/>
      <c r="BZ63" s="187"/>
      <c r="CA63" s="185"/>
      <c r="CB63" s="186"/>
      <c r="CC63" s="186"/>
      <c r="CD63" s="186"/>
      <c r="CE63" s="186"/>
      <c r="CF63" s="187"/>
      <c r="CG63" s="185"/>
      <c r="CH63" s="186"/>
      <c r="CI63" s="186"/>
      <c r="CJ63" s="186"/>
      <c r="CK63" s="186"/>
      <c r="CL63" s="187"/>
      <c r="CM63" s="185"/>
      <c r="CN63" s="186"/>
      <c r="CO63" s="186"/>
      <c r="CP63" s="186"/>
      <c r="CQ63" s="186"/>
      <c r="CR63" s="187"/>
      <c r="CS63" s="185"/>
      <c r="CT63" s="186"/>
      <c r="CU63" s="186"/>
      <c r="CV63" s="186"/>
      <c r="CW63" s="186"/>
      <c r="CX63" s="187"/>
      <c r="CY63" s="51"/>
      <c r="CZ63" s="114"/>
      <c r="DA63" s="114"/>
      <c r="DB63" s="114"/>
      <c r="DC63" s="114"/>
      <c r="DD63" s="114"/>
      <c r="DE63" s="114"/>
      <c r="DF63" s="114"/>
    </row>
    <row r="64" spans="1:110" s="65" customFormat="1" ht="15.75" customHeight="1" x14ac:dyDescent="0.25">
      <c r="A64" s="51"/>
      <c r="B64" s="31">
        <v>9</v>
      </c>
      <c r="C64" s="30">
        <f t="shared" si="0"/>
        <v>0</v>
      </c>
      <c r="D64" s="39" t="str">
        <f t="shared" si="1"/>
        <v/>
      </c>
      <c r="E64" s="112" t="str">
        <f>IF('House of Quality 1'!$BD64&lt;&gt;0,'House of Quality 1'!$BD64,"")</f>
        <v/>
      </c>
      <c r="F64" s="234" t="str">
        <f>IF('House of Quality 1'!$BD49&lt;&gt;"",'House of Quality 1'!$BD49,"")</f>
        <v/>
      </c>
      <c r="G64" s="235"/>
      <c r="H64" s="235"/>
      <c r="I64" s="235"/>
      <c r="J64" s="235"/>
      <c r="K64" s="235"/>
      <c r="L64" s="236"/>
      <c r="M64" s="185"/>
      <c r="N64" s="186"/>
      <c r="O64" s="186"/>
      <c r="P64" s="186"/>
      <c r="Q64" s="186"/>
      <c r="R64" s="187"/>
      <c r="S64" s="185"/>
      <c r="T64" s="186"/>
      <c r="U64" s="186"/>
      <c r="V64" s="186"/>
      <c r="W64" s="186"/>
      <c r="X64" s="187"/>
      <c r="Y64" s="185"/>
      <c r="Z64" s="186"/>
      <c r="AA64" s="186"/>
      <c r="AB64" s="186"/>
      <c r="AC64" s="186"/>
      <c r="AD64" s="187"/>
      <c r="AE64" s="185"/>
      <c r="AF64" s="186"/>
      <c r="AG64" s="186"/>
      <c r="AH64" s="186"/>
      <c r="AI64" s="186"/>
      <c r="AJ64" s="187"/>
      <c r="AK64" s="185"/>
      <c r="AL64" s="186"/>
      <c r="AM64" s="186"/>
      <c r="AN64" s="186"/>
      <c r="AO64" s="186"/>
      <c r="AP64" s="187"/>
      <c r="AQ64" s="185"/>
      <c r="AR64" s="186"/>
      <c r="AS64" s="186"/>
      <c r="AT64" s="186"/>
      <c r="AU64" s="186"/>
      <c r="AV64" s="187"/>
      <c r="AW64" s="185"/>
      <c r="AX64" s="186"/>
      <c r="AY64" s="186"/>
      <c r="AZ64" s="186"/>
      <c r="BA64" s="186"/>
      <c r="BB64" s="187"/>
      <c r="BC64" s="185"/>
      <c r="BD64" s="186"/>
      <c r="BE64" s="186"/>
      <c r="BF64" s="186"/>
      <c r="BG64" s="186"/>
      <c r="BH64" s="187"/>
      <c r="BI64" s="185"/>
      <c r="BJ64" s="186"/>
      <c r="BK64" s="186"/>
      <c r="BL64" s="186"/>
      <c r="BM64" s="186"/>
      <c r="BN64" s="187"/>
      <c r="BO64" s="185"/>
      <c r="BP64" s="186"/>
      <c r="BQ64" s="186"/>
      <c r="BR64" s="186"/>
      <c r="BS64" s="186"/>
      <c r="BT64" s="187"/>
      <c r="BU64" s="185"/>
      <c r="BV64" s="186"/>
      <c r="BW64" s="186"/>
      <c r="BX64" s="186"/>
      <c r="BY64" s="186"/>
      <c r="BZ64" s="187"/>
      <c r="CA64" s="185"/>
      <c r="CB64" s="186"/>
      <c r="CC64" s="186"/>
      <c r="CD64" s="186"/>
      <c r="CE64" s="186"/>
      <c r="CF64" s="187"/>
      <c r="CG64" s="185"/>
      <c r="CH64" s="186"/>
      <c r="CI64" s="186"/>
      <c r="CJ64" s="186"/>
      <c r="CK64" s="186"/>
      <c r="CL64" s="187"/>
      <c r="CM64" s="185"/>
      <c r="CN64" s="186"/>
      <c r="CO64" s="186"/>
      <c r="CP64" s="186"/>
      <c r="CQ64" s="186"/>
      <c r="CR64" s="187"/>
      <c r="CS64" s="185"/>
      <c r="CT64" s="186"/>
      <c r="CU64" s="186"/>
      <c r="CV64" s="186"/>
      <c r="CW64" s="186"/>
      <c r="CX64" s="187"/>
      <c r="CY64" s="51"/>
      <c r="CZ64" s="114"/>
      <c r="DA64" s="114"/>
      <c r="DB64" s="114"/>
      <c r="DC64" s="114"/>
      <c r="DD64" s="114"/>
      <c r="DE64" s="114"/>
      <c r="DF64" s="114"/>
    </row>
    <row r="65" spans="1:113" s="65" customFormat="1" ht="15.75" customHeight="1" x14ac:dyDescent="0.25">
      <c r="A65" s="51"/>
      <c r="B65" s="31">
        <v>10</v>
      </c>
      <c r="C65" s="30">
        <f t="shared" si="0"/>
        <v>0</v>
      </c>
      <c r="D65" s="39" t="str">
        <f t="shared" si="1"/>
        <v/>
      </c>
      <c r="E65" s="112" t="str">
        <f>IF('House of Quality 1'!$BJ64&lt;&gt;0,'House of Quality 1'!$BJ64,"")</f>
        <v/>
      </c>
      <c r="F65" s="234" t="str">
        <f>IF('House of Quality 1'!$BJ49&lt;&gt;"",'House of Quality 1'!$BJ49,"")</f>
        <v/>
      </c>
      <c r="G65" s="235"/>
      <c r="H65" s="235"/>
      <c r="I65" s="235"/>
      <c r="J65" s="235"/>
      <c r="K65" s="235"/>
      <c r="L65" s="236"/>
      <c r="M65" s="185"/>
      <c r="N65" s="186"/>
      <c r="O65" s="186"/>
      <c r="P65" s="186"/>
      <c r="Q65" s="186"/>
      <c r="R65" s="187"/>
      <c r="S65" s="185"/>
      <c r="T65" s="186"/>
      <c r="U65" s="186"/>
      <c r="V65" s="186"/>
      <c r="W65" s="186"/>
      <c r="X65" s="187"/>
      <c r="Y65" s="185"/>
      <c r="Z65" s="186"/>
      <c r="AA65" s="186"/>
      <c r="AB65" s="186"/>
      <c r="AC65" s="186"/>
      <c r="AD65" s="187"/>
      <c r="AE65" s="185"/>
      <c r="AF65" s="186"/>
      <c r="AG65" s="186"/>
      <c r="AH65" s="186"/>
      <c r="AI65" s="186"/>
      <c r="AJ65" s="187"/>
      <c r="AK65" s="185"/>
      <c r="AL65" s="186"/>
      <c r="AM65" s="186"/>
      <c r="AN65" s="186"/>
      <c r="AO65" s="186"/>
      <c r="AP65" s="187"/>
      <c r="AQ65" s="185"/>
      <c r="AR65" s="186"/>
      <c r="AS65" s="186"/>
      <c r="AT65" s="186"/>
      <c r="AU65" s="186"/>
      <c r="AV65" s="187"/>
      <c r="AW65" s="185"/>
      <c r="AX65" s="186"/>
      <c r="AY65" s="186"/>
      <c r="AZ65" s="186"/>
      <c r="BA65" s="186"/>
      <c r="BB65" s="187"/>
      <c r="BC65" s="185"/>
      <c r="BD65" s="186"/>
      <c r="BE65" s="186"/>
      <c r="BF65" s="186"/>
      <c r="BG65" s="186"/>
      <c r="BH65" s="187"/>
      <c r="BI65" s="185"/>
      <c r="BJ65" s="186"/>
      <c r="BK65" s="186"/>
      <c r="BL65" s="186"/>
      <c r="BM65" s="186"/>
      <c r="BN65" s="187"/>
      <c r="BO65" s="185"/>
      <c r="BP65" s="186"/>
      <c r="BQ65" s="186"/>
      <c r="BR65" s="186"/>
      <c r="BS65" s="186"/>
      <c r="BT65" s="187"/>
      <c r="BU65" s="185"/>
      <c r="BV65" s="186"/>
      <c r="BW65" s="186"/>
      <c r="BX65" s="186"/>
      <c r="BY65" s="186"/>
      <c r="BZ65" s="187"/>
      <c r="CA65" s="185"/>
      <c r="CB65" s="186"/>
      <c r="CC65" s="186"/>
      <c r="CD65" s="186"/>
      <c r="CE65" s="186"/>
      <c r="CF65" s="187"/>
      <c r="CG65" s="185"/>
      <c r="CH65" s="186"/>
      <c r="CI65" s="186"/>
      <c r="CJ65" s="186"/>
      <c r="CK65" s="186"/>
      <c r="CL65" s="187"/>
      <c r="CM65" s="185"/>
      <c r="CN65" s="186"/>
      <c r="CO65" s="186"/>
      <c r="CP65" s="186"/>
      <c r="CQ65" s="186"/>
      <c r="CR65" s="187"/>
      <c r="CS65" s="185"/>
      <c r="CT65" s="186"/>
      <c r="CU65" s="186"/>
      <c r="CV65" s="186"/>
      <c r="CW65" s="186"/>
      <c r="CX65" s="187"/>
      <c r="CY65" s="51"/>
      <c r="CZ65" s="114"/>
      <c r="DA65" s="114"/>
      <c r="DB65" s="114"/>
      <c r="DC65" s="114"/>
      <c r="DD65" s="114"/>
      <c r="DE65" s="114"/>
      <c r="DF65" s="114"/>
    </row>
    <row r="66" spans="1:113" s="65" customFormat="1" ht="15.75" customHeight="1" x14ac:dyDescent="0.25">
      <c r="A66" s="51"/>
      <c r="B66" s="31">
        <v>11</v>
      </c>
      <c r="C66" s="30">
        <f t="shared" si="0"/>
        <v>0</v>
      </c>
      <c r="D66" s="39" t="str">
        <f t="shared" si="1"/>
        <v/>
      </c>
      <c r="E66" s="112" t="str">
        <f>IF('House of Quality 1'!$BP64&lt;&gt;0,'House of Quality 1'!$BP64,"")</f>
        <v/>
      </c>
      <c r="F66" s="234" t="str">
        <f>IF('House of Quality 1'!$BP49&lt;&gt;"",'House of Quality 1'!$BP49,"")</f>
        <v/>
      </c>
      <c r="G66" s="235"/>
      <c r="H66" s="235"/>
      <c r="I66" s="235"/>
      <c r="J66" s="235"/>
      <c r="K66" s="235"/>
      <c r="L66" s="236"/>
      <c r="M66" s="185"/>
      <c r="N66" s="186"/>
      <c r="O66" s="186"/>
      <c r="P66" s="186"/>
      <c r="Q66" s="186"/>
      <c r="R66" s="187"/>
      <c r="S66" s="185"/>
      <c r="T66" s="186"/>
      <c r="U66" s="186"/>
      <c r="V66" s="186"/>
      <c r="W66" s="186"/>
      <c r="X66" s="187"/>
      <c r="Y66" s="185"/>
      <c r="Z66" s="186"/>
      <c r="AA66" s="186"/>
      <c r="AB66" s="186"/>
      <c r="AC66" s="186"/>
      <c r="AD66" s="187"/>
      <c r="AE66" s="185"/>
      <c r="AF66" s="186"/>
      <c r="AG66" s="186"/>
      <c r="AH66" s="186"/>
      <c r="AI66" s="186"/>
      <c r="AJ66" s="187"/>
      <c r="AK66" s="185"/>
      <c r="AL66" s="186"/>
      <c r="AM66" s="186"/>
      <c r="AN66" s="186"/>
      <c r="AO66" s="186"/>
      <c r="AP66" s="187"/>
      <c r="AQ66" s="185"/>
      <c r="AR66" s="186"/>
      <c r="AS66" s="186"/>
      <c r="AT66" s="186"/>
      <c r="AU66" s="186"/>
      <c r="AV66" s="187"/>
      <c r="AW66" s="185"/>
      <c r="AX66" s="186"/>
      <c r="AY66" s="186"/>
      <c r="AZ66" s="186"/>
      <c r="BA66" s="186"/>
      <c r="BB66" s="187"/>
      <c r="BC66" s="185"/>
      <c r="BD66" s="186"/>
      <c r="BE66" s="186"/>
      <c r="BF66" s="186"/>
      <c r="BG66" s="186"/>
      <c r="BH66" s="187"/>
      <c r="BI66" s="185"/>
      <c r="BJ66" s="186"/>
      <c r="BK66" s="186"/>
      <c r="BL66" s="186"/>
      <c r="BM66" s="186"/>
      <c r="BN66" s="187"/>
      <c r="BO66" s="185"/>
      <c r="BP66" s="186"/>
      <c r="BQ66" s="186"/>
      <c r="BR66" s="186"/>
      <c r="BS66" s="186"/>
      <c r="BT66" s="187"/>
      <c r="BU66" s="185"/>
      <c r="BV66" s="186"/>
      <c r="BW66" s="186"/>
      <c r="BX66" s="186"/>
      <c r="BY66" s="186"/>
      <c r="BZ66" s="187"/>
      <c r="CA66" s="185"/>
      <c r="CB66" s="186"/>
      <c r="CC66" s="186"/>
      <c r="CD66" s="186"/>
      <c r="CE66" s="186"/>
      <c r="CF66" s="187"/>
      <c r="CG66" s="185"/>
      <c r="CH66" s="186"/>
      <c r="CI66" s="186"/>
      <c r="CJ66" s="186"/>
      <c r="CK66" s="186"/>
      <c r="CL66" s="187"/>
      <c r="CM66" s="185"/>
      <c r="CN66" s="186"/>
      <c r="CO66" s="186"/>
      <c r="CP66" s="186"/>
      <c r="CQ66" s="186"/>
      <c r="CR66" s="187"/>
      <c r="CS66" s="212"/>
      <c r="CT66" s="212"/>
      <c r="CU66" s="212"/>
      <c r="CV66" s="212"/>
      <c r="CW66" s="212"/>
      <c r="CX66" s="212"/>
      <c r="CY66" s="51"/>
      <c r="CZ66" s="114"/>
      <c r="DA66" s="114"/>
      <c r="DB66" s="114"/>
      <c r="DC66" s="114"/>
      <c r="DD66" s="114"/>
      <c r="DE66" s="114"/>
      <c r="DF66" s="114"/>
    </row>
    <row r="67" spans="1:113" s="65" customFormat="1" ht="15.75" customHeight="1" x14ac:dyDescent="0.25">
      <c r="A67" s="51"/>
      <c r="B67" s="31">
        <v>12</v>
      </c>
      <c r="C67" s="30">
        <f t="shared" si="0"/>
        <v>0</v>
      </c>
      <c r="D67" s="39" t="str">
        <f t="shared" si="1"/>
        <v/>
      </c>
      <c r="E67" s="112" t="str">
        <f>IF('House of Quality 1'!$BV64&lt;&gt;0,'House of Quality 1'!$BV64,"")</f>
        <v/>
      </c>
      <c r="F67" s="234" t="str">
        <f>IF('House of Quality 1'!$BV49&lt;&gt;"",'House of Quality 1'!$BV49,"")</f>
        <v/>
      </c>
      <c r="G67" s="235"/>
      <c r="H67" s="235"/>
      <c r="I67" s="235"/>
      <c r="J67" s="235"/>
      <c r="K67" s="235"/>
      <c r="L67" s="236"/>
      <c r="M67" s="185"/>
      <c r="N67" s="186"/>
      <c r="O67" s="186"/>
      <c r="P67" s="186"/>
      <c r="Q67" s="186"/>
      <c r="R67" s="187"/>
      <c r="S67" s="185"/>
      <c r="T67" s="186"/>
      <c r="U67" s="186"/>
      <c r="V67" s="186"/>
      <c r="W67" s="186"/>
      <c r="X67" s="187"/>
      <c r="Y67" s="185"/>
      <c r="Z67" s="186"/>
      <c r="AA67" s="186"/>
      <c r="AB67" s="186"/>
      <c r="AC67" s="186"/>
      <c r="AD67" s="187"/>
      <c r="AE67" s="185"/>
      <c r="AF67" s="186"/>
      <c r="AG67" s="186"/>
      <c r="AH67" s="186"/>
      <c r="AI67" s="186"/>
      <c r="AJ67" s="187"/>
      <c r="AK67" s="185"/>
      <c r="AL67" s="186"/>
      <c r="AM67" s="186"/>
      <c r="AN67" s="186"/>
      <c r="AO67" s="186"/>
      <c r="AP67" s="187"/>
      <c r="AQ67" s="185"/>
      <c r="AR67" s="186"/>
      <c r="AS67" s="186"/>
      <c r="AT67" s="186"/>
      <c r="AU67" s="186"/>
      <c r="AV67" s="187"/>
      <c r="AW67" s="185"/>
      <c r="AX67" s="186"/>
      <c r="AY67" s="186"/>
      <c r="AZ67" s="186"/>
      <c r="BA67" s="186"/>
      <c r="BB67" s="187"/>
      <c r="BC67" s="185"/>
      <c r="BD67" s="186"/>
      <c r="BE67" s="186"/>
      <c r="BF67" s="186"/>
      <c r="BG67" s="186"/>
      <c r="BH67" s="187"/>
      <c r="BI67" s="185"/>
      <c r="BJ67" s="186"/>
      <c r="BK67" s="186"/>
      <c r="BL67" s="186"/>
      <c r="BM67" s="186"/>
      <c r="BN67" s="187"/>
      <c r="BO67" s="185"/>
      <c r="BP67" s="186"/>
      <c r="BQ67" s="186"/>
      <c r="BR67" s="186"/>
      <c r="BS67" s="186"/>
      <c r="BT67" s="187"/>
      <c r="BU67" s="185"/>
      <c r="BV67" s="186"/>
      <c r="BW67" s="186"/>
      <c r="BX67" s="186"/>
      <c r="BY67" s="186"/>
      <c r="BZ67" s="187"/>
      <c r="CA67" s="185"/>
      <c r="CB67" s="186"/>
      <c r="CC67" s="186"/>
      <c r="CD67" s="186"/>
      <c r="CE67" s="186"/>
      <c r="CF67" s="187"/>
      <c r="CG67" s="185"/>
      <c r="CH67" s="186"/>
      <c r="CI67" s="186"/>
      <c r="CJ67" s="186"/>
      <c r="CK67" s="186"/>
      <c r="CL67" s="187"/>
      <c r="CM67" s="185"/>
      <c r="CN67" s="186"/>
      <c r="CO67" s="186"/>
      <c r="CP67" s="186"/>
      <c r="CQ67" s="186"/>
      <c r="CR67" s="187"/>
      <c r="CS67" s="185"/>
      <c r="CT67" s="186"/>
      <c r="CU67" s="186"/>
      <c r="CV67" s="186"/>
      <c r="CW67" s="186"/>
      <c r="CX67" s="187"/>
      <c r="CY67" s="51"/>
      <c r="CZ67" s="114"/>
      <c r="DA67" s="114"/>
      <c r="DB67" s="114"/>
      <c r="DC67" s="114"/>
      <c r="DD67" s="114"/>
      <c r="DE67" s="114"/>
      <c r="DF67" s="114"/>
    </row>
    <row r="68" spans="1:113" s="65" customFormat="1" ht="15.75" customHeight="1" x14ac:dyDescent="0.25">
      <c r="A68" s="51"/>
      <c r="B68" s="31">
        <v>13</v>
      </c>
      <c r="C68" s="30">
        <f t="shared" si="0"/>
        <v>0</v>
      </c>
      <c r="D68" s="39" t="str">
        <f t="shared" si="1"/>
        <v/>
      </c>
      <c r="E68" s="112" t="str">
        <f>IF('House of Quality 1'!$CB64&lt;&gt;0,'House of Quality 1'!$CB64,"")</f>
        <v/>
      </c>
      <c r="F68" s="234" t="str">
        <f>IF('House of Quality 1'!$CB49&lt;&gt;"",'House of Quality 1'!$CB49,"")</f>
        <v/>
      </c>
      <c r="G68" s="235"/>
      <c r="H68" s="235"/>
      <c r="I68" s="235"/>
      <c r="J68" s="235"/>
      <c r="K68" s="235"/>
      <c r="L68" s="236"/>
      <c r="M68" s="185"/>
      <c r="N68" s="186"/>
      <c r="O68" s="186"/>
      <c r="P68" s="186"/>
      <c r="Q68" s="186"/>
      <c r="R68" s="187"/>
      <c r="S68" s="185"/>
      <c r="T68" s="186"/>
      <c r="U68" s="186"/>
      <c r="V68" s="186"/>
      <c r="W68" s="186"/>
      <c r="X68" s="187"/>
      <c r="Y68" s="185"/>
      <c r="Z68" s="186"/>
      <c r="AA68" s="186"/>
      <c r="AB68" s="186"/>
      <c r="AC68" s="186"/>
      <c r="AD68" s="187"/>
      <c r="AE68" s="185"/>
      <c r="AF68" s="186"/>
      <c r="AG68" s="186"/>
      <c r="AH68" s="186"/>
      <c r="AI68" s="186"/>
      <c r="AJ68" s="187"/>
      <c r="AK68" s="185"/>
      <c r="AL68" s="186"/>
      <c r="AM68" s="186"/>
      <c r="AN68" s="186"/>
      <c r="AO68" s="186"/>
      <c r="AP68" s="187"/>
      <c r="AQ68" s="185"/>
      <c r="AR68" s="186"/>
      <c r="AS68" s="186"/>
      <c r="AT68" s="186"/>
      <c r="AU68" s="186"/>
      <c r="AV68" s="187"/>
      <c r="AW68" s="185"/>
      <c r="AX68" s="186"/>
      <c r="AY68" s="186"/>
      <c r="AZ68" s="186"/>
      <c r="BA68" s="186"/>
      <c r="BB68" s="187"/>
      <c r="BC68" s="185"/>
      <c r="BD68" s="186"/>
      <c r="BE68" s="186"/>
      <c r="BF68" s="186"/>
      <c r="BG68" s="186"/>
      <c r="BH68" s="187"/>
      <c r="BI68" s="185"/>
      <c r="BJ68" s="186"/>
      <c r="BK68" s="186"/>
      <c r="BL68" s="186"/>
      <c r="BM68" s="186"/>
      <c r="BN68" s="187"/>
      <c r="BO68" s="185"/>
      <c r="BP68" s="186"/>
      <c r="BQ68" s="186"/>
      <c r="BR68" s="186"/>
      <c r="BS68" s="186"/>
      <c r="BT68" s="187"/>
      <c r="BU68" s="185"/>
      <c r="BV68" s="186"/>
      <c r="BW68" s="186"/>
      <c r="BX68" s="186"/>
      <c r="BY68" s="186"/>
      <c r="BZ68" s="187"/>
      <c r="CA68" s="185"/>
      <c r="CB68" s="186"/>
      <c r="CC68" s="186"/>
      <c r="CD68" s="186"/>
      <c r="CE68" s="186"/>
      <c r="CF68" s="187"/>
      <c r="CG68" s="185"/>
      <c r="CH68" s="186"/>
      <c r="CI68" s="186"/>
      <c r="CJ68" s="186"/>
      <c r="CK68" s="186"/>
      <c r="CL68" s="187"/>
      <c r="CM68" s="185"/>
      <c r="CN68" s="186"/>
      <c r="CO68" s="186"/>
      <c r="CP68" s="186"/>
      <c r="CQ68" s="186"/>
      <c r="CR68" s="187"/>
      <c r="CS68" s="185"/>
      <c r="CT68" s="186"/>
      <c r="CU68" s="186"/>
      <c r="CV68" s="186"/>
      <c r="CW68" s="186"/>
      <c r="CX68" s="187"/>
      <c r="CY68" s="51"/>
      <c r="CZ68" s="114"/>
      <c r="DA68" s="114"/>
      <c r="DB68" s="114"/>
      <c r="DC68" s="114"/>
      <c r="DD68" s="114"/>
      <c r="DE68" s="114"/>
      <c r="DF68" s="114"/>
    </row>
    <row r="69" spans="1:113" s="65" customFormat="1" ht="15.75" customHeight="1" x14ac:dyDescent="0.25">
      <c r="A69" s="51"/>
      <c r="B69" s="31">
        <v>14</v>
      </c>
      <c r="C69" s="30">
        <f t="shared" si="0"/>
        <v>0</v>
      </c>
      <c r="D69" s="39" t="str">
        <f t="shared" si="1"/>
        <v/>
      </c>
      <c r="E69" s="112" t="str">
        <f>IF('House of Quality 1'!$CH64&lt;&gt;0,'House of Quality 1'!$CH64,"")</f>
        <v/>
      </c>
      <c r="F69" s="234" t="str">
        <f>IF('House of Quality 1'!$CH49&lt;&gt;"",'House of Quality 1'!$CH49,"")</f>
        <v/>
      </c>
      <c r="G69" s="235"/>
      <c r="H69" s="235"/>
      <c r="I69" s="235"/>
      <c r="J69" s="235"/>
      <c r="K69" s="235"/>
      <c r="L69" s="236"/>
      <c r="M69" s="185"/>
      <c r="N69" s="186"/>
      <c r="O69" s="186"/>
      <c r="P69" s="186"/>
      <c r="Q69" s="186"/>
      <c r="R69" s="187"/>
      <c r="S69" s="185"/>
      <c r="T69" s="186"/>
      <c r="U69" s="186"/>
      <c r="V69" s="186"/>
      <c r="W69" s="186"/>
      <c r="X69" s="187"/>
      <c r="Y69" s="185"/>
      <c r="Z69" s="186"/>
      <c r="AA69" s="186"/>
      <c r="AB69" s="186"/>
      <c r="AC69" s="186"/>
      <c r="AD69" s="187"/>
      <c r="AE69" s="185"/>
      <c r="AF69" s="186"/>
      <c r="AG69" s="186"/>
      <c r="AH69" s="186"/>
      <c r="AI69" s="186"/>
      <c r="AJ69" s="187"/>
      <c r="AK69" s="185"/>
      <c r="AL69" s="186"/>
      <c r="AM69" s="186"/>
      <c r="AN69" s="186"/>
      <c r="AO69" s="186"/>
      <c r="AP69" s="187"/>
      <c r="AQ69" s="185"/>
      <c r="AR69" s="186"/>
      <c r="AS69" s="186"/>
      <c r="AT69" s="186"/>
      <c r="AU69" s="186"/>
      <c r="AV69" s="187"/>
      <c r="AW69" s="185"/>
      <c r="AX69" s="186"/>
      <c r="AY69" s="186"/>
      <c r="AZ69" s="186"/>
      <c r="BA69" s="186"/>
      <c r="BB69" s="187"/>
      <c r="BC69" s="185"/>
      <c r="BD69" s="186"/>
      <c r="BE69" s="186"/>
      <c r="BF69" s="186"/>
      <c r="BG69" s="186"/>
      <c r="BH69" s="187"/>
      <c r="BI69" s="185"/>
      <c r="BJ69" s="186"/>
      <c r="BK69" s="186"/>
      <c r="BL69" s="186"/>
      <c r="BM69" s="186"/>
      <c r="BN69" s="187"/>
      <c r="BO69" s="185"/>
      <c r="BP69" s="186"/>
      <c r="BQ69" s="186"/>
      <c r="BR69" s="186"/>
      <c r="BS69" s="186"/>
      <c r="BT69" s="187"/>
      <c r="BU69" s="185"/>
      <c r="BV69" s="186"/>
      <c r="BW69" s="186"/>
      <c r="BX69" s="186"/>
      <c r="BY69" s="186"/>
      <c r="BZ69" s="187"/>
      <c r="CA69" s="185"/>
      <c r="CB69" s="186"/>
      <c r="CC69" s="186"/>
      <c r="CD69" s="186"/>
      <c r="CE69" s="186"/>
      <c r="CF69" s="187"/>
      <c r="CG69" s="185"/>
      <c r="CH69" s="186"/>
      <c r="CI69" s="186"/>
      <c r="CJ69" s="186"/>
      <c r="CK69" s="186"/>
      <c r="CL69" s="187"/>
      <c r="CM69" s="185"/>
      <c r="CN69" s="186"/>
      <c r="CO69" s="186"/>
      <c r="CP69" s="186"/>
      <c r="CQ69" s="186"/>
      <c r="CR69" s="187"/>
      <c r="CS69" s="185"/>
      <c r="CT69" s="186"/>
      <c r="CU69" s="186"/>
      <c r="CV69" s="186"/>
      <c r="CW69" s="186"/>
      <c r="CX69" s="187"/>
      <c r="CY69" s="51"/>
      <c r="CZ69" s="114"/>
      <c r="DA69" s="114"/>
      <c r="DB69" s="114"/>
      <c r="DC69" s="114"/>
      <c r="DD69" s="114"/>
      <c r="DE69" s="114"/>
      <c r="DF69" s="114"/>
    </row>
    <row r="70" spans="1:113" s="65" customFormat="1" ht="15.75" customHeight="1" x14ac:dyDescent="0.25">
      <c r="A70" s="51"/>
      <c r="B70" s="31">
        <v>15</v>
      </c>
      <c r="C70" s="30">
        <f t="shared" si="0"/>
        <v>0</v>
      </c>
      <c r="D70" s="39" t="str">
        <f t="shared" si="1"/>
        <v/>
      </c>
      <c r="E70" s="112" t="str">
        <f>IF('House of Quality 1'!$CN64&lt;&gt;0,'House of Quality 1'!$CN64,"")</f>
        <v/>
      </c>
      <c r="F70" s="234" t="str">
        <f>IF('House of Quality 1'!$CN49&lt;&gt;"",'House of Quality 1'!$CN49,"")</f>
        <v/>
      </c>
      <c r="G70" s="235"/>
      <c r="H70" s="235"/>
      <c r="I70" s="235"/>
      <c r="J70" s="235"/>
      <c r="K70" s="235"/>
      <c r="L70" s="236"/>
      <c r="M70" s="185"/>
      <c r="N70" s="186"/>
      <c r="O70" s="186"/>
      <c r="P70" s="186"/>
      <c r="Q70" s="186"/>
      <c r="R70" s="187"/>
      <c r="S70" s="185"/>
      <c r="T70" s="186"/>
      <c r="U70" s="186"/>
      <c r="V70" s="186"/>
      <c r="W70" s="186"/>
      <c r="X70" s="187"/>
      <c r="Y70" s="185"/>
      <c r="Z70" s="186"/>
      <c r="AA70" s="186"/>
      <c r="AB70" s="186"/>
      <c r="AC70" s="186"/>
      <c r="AD70" s="187"/>
      <c r="AE70" s="185"/>
      <c r="AF70" s="186"/>
      <c r="AG70" s="186"/>
      <c r="AH70" s="186"/>
      <c r="AI70" s="186"/>
      <c r="AJ70" s="187"/>
      <c r="AK70" s="185"/>
      <c r="AL70" s="186"/>
      <c r="AM70" s="186"/>
      <c r="AN70" s="186"/>
      <c r="AO70" s="186"/>
      <c r="AP70" s="187"/>
      <c r="AQ70" s="185"/>
      <c r="AR70" s="186"/>
      <c r="AS70" s="186"/>
      <c r="AT70" s="186"/>
      <c r="AU70" s="186"/>
      <c r="AV70" s="187"/>
      <c r="AW70" s="185"/>
      <c r="AX70" s="186"/>
      <c r="AY70" s="186"/>
      <c r="AZ70" s="186"/>
      <c r="BA70" s="186"/>
      <c r="BB70" s="187"/>
      <c r="BC70" s="185"/>
      <c r="BD70" s="186"/>
      <c r="BE70" s="186"/>
      <c r="BF70" s="186"/>
      <c r="BG70" s="186"/>
      <c r="BH70" s="187"/>
      <c r="BI70" s="185"/>
      <c r="BJ70" s="186"/>
      <c r="BK70" s="186"/>
      <c r="BL70" s="186"/>
      <c r="BM70" s="186"/>
      <c r="BN70" s="187"/>
      <c r="BO70" s="185"/>
      <c r="BP70" s="186"/>
      <c r="BQ70" s="186"/>
      <c r="BR70" s="186"/>
      <c r="BS70" s="186"/>
      <c r="BT70" s="187"/>
      <c r="BU70" s="185"/>
      <c r="BV70" s="186"/>
      <c r="BW70" s="186"/>
      <c r="BX70" s="186"/>
      <c r="BY70" s="186"/>
      <c r="BZ70" s="187"/>
      <c r="CA70" s="185"/>
      <c r="CB70" s="186"/>
      <c r="CC70" s="186"/>
      <c r="CD70" s="186"/>
      <c r="CE70" s="186"/>
      <c r="CF70" s="187"/>
      <c r="CG70" s="185"/>
      <c r="CH70" s="186"/>
      <c r="CI70" s="186"/>
      <c r="CJ70" s="186"/>
      <c r="CK70" s="186"/>
      <c r="CL70" s="187"/>
      <c r="CM70" s="185"/>
      <c r="CN70" s="186"/>
      <c r="CO70" s="186"/>
      <c r="CP70" s="186"/>
      <c r="CQ70" s="186"/>
      <c r="CR70" s="187"/>
      <c r="CS70" s="185"/>
      <c r="CT70" s="186"/>
      <c r="CU70" s="186"/>
      <c r="CV70" s="186"/>
      <c r="CW70" s="186"/>
      <c r="CX70" s="187"/>
      <c r="CY70" s="51"/>
      <c r="CZ70" s="114"/>
      <c r="DA70" s="114"/>
      <c r="DB70" s="114"/>
      <c r="DC70" s="114"/>
      <c r="DD70" s="114"/>
      <c r="DE70" s="114"/>
      <c r="DF70" s="114"/>
    </row>
    <row r="71" spans="1:113" s="65" customFormat="1" ht="84.75" customHeight="1" x14ac:dyDescent="0.25">
      <c r="A71" s="51"/>
      <c r="B71" s="51"/>
      <c r="C71" s="51"/>
      <c r="D71" s="52"/>
      <c r="E71" s="111"/>
      <c r="F71" s="221" t="s">
        <v>9</v>
      </c>
      <c r="G71" s="233"/>
      <c r="H71" s="233"/>
      <c r="I71" s="233"/>
      <c r="J71" s="233"/>
      <c r="K71" s="233"/>
      <c r="L71" s="222"/>
      <c r="M71" s="159"/>
      <c r="N71" s="160"/>
      <c r="O71" s="160"/>
      <c r="P71" s="160"/>
      <c r="Q71" s="160"/>
      <c r="R71" s="161"/>
      <c r="S71" s="159"/>
      <c r="T71" s="160"/>
      <c r="U71" s="160"/>
      <c r="V71" s="160"/>
      <c r="W71" s="160"/>
      <c r="X71" s="161"/>
      <c r="Y71" s="159"/>
      <c r="Z71" s="160"/>
      <c r="AA71" s="160"/>
      <c r="AB71" s="160"/>
      <c r="AC71" s="160"/>
      <c r="AD71" s="161"/>
      <c r="AE71" s="159"/>
      <c r="AF71" s="160"/>
      <c r="AG71" s="160"/>
      <c r="AH71" s="160"/>
      <c r="AI71" s="160"/>
      <c r="AJ71" s="161"/>
      <c r="AK71" s="159"/>
      <c r="AL71" s="160"/>
      <c r="AM71" s="160"/>
      <c r="AN71" s="160"/>
      <c r="AO71" s="160"/>
      <c r="AP71" s="161"/>
      <c r="AQ71" s="159"/>
      <c r="AR71" s="160"/>
      <c r="AS71" s="160"/>
      <c r="AT71" s="160"/>
      <c r="AU71" s="160"/>
      <c r="AV71" s="161"/>
      <c r="AW71" s="159"/>
      <c r="AX71" s="160"/>
      <c r="AY71" s="160"/>
      <c r="AZ71" s="160"/>
      <c r="BA71" s="160"/>
      <c r="BB71" s="161"/>
      <c r="BC71" s="159"/>
      <c r="BD71" s="160"/>
      <c r="BE71" s="160"/>
      <c r="BF71" s="160"/>
      <c r="BG71" s="160"/>
      <c r="BH71" s="161"/>
      <c r="BI71" s="159"/>
      <c r="BJ71" s="160"/>
      <c r="BK71" s="160"/>
      <c r="BL71" s="160"/>
      <c r="BM71" s="160"/>
      <c r="BN71" s="161"/>
      <c r="BO71" s="159"/>
      <c r="BP71" s="160"/>
      <c r="BQ71" s="160"/>
      <c r="BR71" s="160"/>
      <c r="BS71" s="160"/>
      <c r="BT71" s="161"/>
      <c r="BU71" s="159"/>
      <c r="BV71" s="160"/>
      <c r="BW71" s="160"/>
      <c r="BX71" s="160"/>
      <c r="BY71" s="160"/>
      <c r="BZ71" s="161"/>
      <c r="CA71" s="159"/>
      <c r="CB71" s="160"/>
      <c r="CC71" s="160"/>
      <c r="CD71" s="160"/>
      <c r="CE71" s="160"/>
      <c r="CF71" s="161"/>
      <c r="CG71" s="159"/>
      <c r="CH71" s="160"/>
      <c r="CI71" s="160"/>
      <c r="CJ71" s="160"/>
      <c r="CK71" s="160"/>
      <c r="CL71" s="161"/>
      <c r="CM71" s="159"/>
      <c r="CN71" s="160"/>
      <c r="CO71" s="160"/>
      <c r="CP71" s="160"/>
      <c r="CQ71" s="160"/>
      <c r="CR71" s="161"/>
      <c r="CS71" s="214"/>
      <c r="CT71" s="214"/>
      <c r="CU71" s="214"/>
      <c r="CV71" s="214"/>
      <c r="CW71" s="214"/>
      <c r="CX71" s="214"/>
      <c r="CY71" s="51"/>
      <c r="CZ71" s="114"/>
      <c r="DA71" s="114"/>
      <c r="DB71" s="114"/>
      <c r="DC71" s="114"/>
      <c r="DD71" s="114"/>
      <c r="DE71" s="114"/>
      <c r="DF71" s="114"/>
    </row>
    <row r="72" spans="1:113" s="65" customFormat="1" ht="22.5" customHeight="1" x14ac:dyDescent="0.25">
      <c r="A72" s="51"/>
      <c r="B72" s="51"/>
      <c r="C72" s="51"/>
      <c r="D72" s="52"/>
      <c r="E72" s="111"/>
      <c r="F72" s="170" t="s">
        <v>36</v>
      </c>
      <c r="G72" s="232"/>
      <c r="H72" s="232"/>
      <c r="I72" s="232"/>
      <c r="J72" s="232"/>
      <c r="K72" s="232"/>
      <c r="L72" s="220"/>
      <c r="M72" s="173"/>
      <c r="N72" s="174"/>
      <c r="O72" s="174"/>
      <c r="P72" s="174"/>
      <c r="Q72" s="174"/>
      <c r="R72" s="175"/>
      <c r="S72" s="173"/>
      <c r="T72" s="174"/>
      <c r="U72" s="174"/>
      <c r="V72" s="174"/>
      <c r="W72" s="174"/>
      <c r="X72" s="175"/>
      <c r="Y72" s="173"/>
      <c r="Z72" s="174"/>
      <c r="AA72" s="174"/>
      <c r="AB72" s="174"/>
      <c r="AC72" s="174"/>
      <c r="AD72" s="175"/>
      <c r="AE72" s="173"/>
      <c r="AF72" s="174"/>
      <c r="AG72" s="174"/>
      <c r="AH72" s="174"/>
      <c r="AI72" s="174"/>
      <c r="AJ72" s="175"/>
      <c r="AK72" s="173"/>
      <c r="AL72" s="174"/>
      <c r="AM72" s="174"/>
      <c r="AN72" s="174"/>
      <c r="AO72" s="174"/>
      <c r="AP72" s="175"/>
      <c r="AQ72" s="173"/>
      <c r="AR72" s="174"/>
      <c r="AS72" s="174"/>
      <c r="AT72" s="174"/>
      <c r="AU72" s="174"/>
      <c r="AV72" s="175"/>
      <c r="AW72" s="173"/>
      <c r="AX72" s="174"/>
      <c r="AY72" s="174"/>
      <c r="AZ72" s="174"/>
      <c r="BA72" s="174"/>
      <c r="BB72" s="175"/>
      <c r="BC72" s="173"/>
      <c r="BD72" s="174"/>
      <c r="BE72" s="174"/>
      <c r="BF72" s="174"/>
      <c r="BG72" s="174"/>
      <c r="BH72" s="175"/>
      <c r="BI72" s="173"/>
      <c r="BJ72" s="174"/>
      <c r="BK72" s="174"/>
      <c r="BL72" s="174"/>
      <c r="BM72" s="174"/>
      <c r="BN72" s="175"/>
      <c r="BO72" s="173"/>
      <c r="BP72" s="174"/>
      <c r="BQ72" s="174"/>
      <c r="BR72" s="174"/>
      <c r="BS72" s="174"/>
      <c r="BT72" s="175"/>
      <c r="BU72" s="173"/>
      <c r="BV72" s="174"/>
      <c r="BW72" s="174"/>
      <c r="BX72" s="174"/>
      <c r="BY72" s="174"/>
      <c r="BZ72" s="175"/>
      <c r="CA72" s="173"/>
      <c r="CB72" s="174"/>
      <c r="CC72" s="174"/>
      <c r="CD72" s="174"/>
      <c r="CE72" s="174"/>
      <c r="CF72" s="175"/>
      <c r="CG72" s="173"/>
      <c r="CH72" s="174"/>
      <c r="CI72" s="174"/>
      <c r="CJ72" s="174"/>
      <c r="CK72" s="174"/>
      <c r="CL72" s="175"/>
      <c r="CM72" s="173"/>
      <c r="CN72" s="174"/>
      <c r="CO72" s="174"/>
      <c r="CP72" s="174"/>
      <c r="CQ72" s="174"/>
      <c r="CR72" s="175"/>
      <c r="CS72" s="213"/>
      <c r="CT72" s="213"/>
      <c r="CU72" s="213"/>
      <c r="CV72" s="213"/>
      <c r="CW72" s="213"/>
      <c r="CX72" s="213"/>
      <c r="CY72" s="51"/>
      <c r="CZ72" s="51"/>
      <c r="DA72" s="51"/>
      <c r="DB72" s="51"/>
      <c r="DC72" s="51"/>
      <c r="DD72" s="51"/>
      <c r="DE72" s="51"/>
      <c r="DF72" s="51"/>
    </row>
    <row r="73" spans="1:113" s="65" customFormat="1" ht="14.25" customHeight="1" x14ac:dyDescent="0.25">
      <c r="A73" s="51"/>
      <c r="B73" s="51"/>
      <c r="C73" s="51"/>
      <c r="D73" s="52"/>
      <c r="E73" s="111"/>
      <c r="F73" s="170" t="s">
        <v>3</v>
      </c>
      <c r="G73" s="232"/>
      <c r="H73" s="232"/>
      <c r="I73" s="232"/>
      <c r="J73" s="232"/>
      <c r="K73" s="232"/>
      <c r="L73" s="220"/>
      <c r="M73" s="182">
        <f>MAX(M79:R93)</f>
        <v>0</v>
      </c>
      <c r="N73" s="183"/>
      <c r="O73" s="183"/>
      <c r="P73" s="183"/>
      <c r="Q73" s="183"/>
      <c r="R73" s="184"/>
      <c r="S73" s="182">
        <f>MAX(S79:X93)</f>
        <v>0</v>
      </c>
      <c r="T73" s="183"/>
      <c r="U73" s="183"/>
      <c r="V73" s="183"/>
      <c r="W73" s="183"/>
      <c r="X73" s="184"/>
      <c r="Y73" s="182">
        <f>MAX(Y79:AD93)</f>
        <v>0</v>
      </c>
      <c r="Z73" s="183"/>
      <c r="AA73" s="183"/>
      <c r="AB73" s="183"/>
      <c r="AC73" s="183"/>
      <c r="AD73" s="184"/>
      <c r="AE73" s="182">
        <f>MAX(AE79:AJ93)</f>
        <v>0</v>
      </c>
      <c r="AF73" s="183"/>
      <c r="AG73" s="183"/>
      <c r="AH73" s="183"/>
      <c r="AI73" s="183"/>
      <c r="AJ73" s="184"/>
      <c r="AK73" s="182">
        <f>MAX(AK79:AP93)</f>
        <v>0</v>
      </c>
      <c r="AL73" s="183"/>
      <c r="AM73" s="183"/>
      <c r="AN73" s="183"/>
      <c r="AO73" s="183"/>
      <c r="AP73" s="184"/>
      <c r="AQ73" s="182">
        <f>MAX(AQ79:AV93)</f>
        <v>0</v>
      </c>
      <c r="AR73" s="183"/>
      <c r="AS73" s="183"/>
      <c r="AT73" s="183"/>
      <c r="AU73" s="183"/>
      <c r="AV73" s="184"/>
      <c r="AW73" s="182">
        <f>MAX(AW79:BB93)</f>
        <v>0</v>
      </c>
      <c r="AX73" s="183"/>
      <c r="AY73" s="183"/>
      <c r="AZ73" s="183"/>
      <c r="BA73" s="183"/>
      <c r="BB73" s="184"/>
      <c r="BC73" s="182">
        <f>MAX(BC79:BH93)</f>
        <v>0</v>
      </c>
      <c r="BD73" s="183"/>
      <c r="BE73" s="183"/>
      <c r="BF73" s="183"/>
      <c r="BG73" s="183"/>
      <c r="BH73" s="184"/>
      <c r="BI73" s="182">
        <f>MAX(BI79:BN93)</f>
        <v>0</v>
      </c>
      <c r="BJ73" s="183"/>
      <c r="BK73" s="183"/>
      <c r="BL73" s="183"/>
      <c r="BM73" s="183"/>
      <c r="BN73" s="184"/>
      <c r="BO73" s="182">
        <f>MAX(BO79:BT93)</f>
        <v>0</v>
      </c>
      <c r="BP73" s="183"/>
      <c r="BQ73" s="183"/>
      <c r="BR73" s="183"/>
      <c r="BS73" s="183"/>
      <c r="BT73" s="184"/>
      <c r="BU73" s="182">
        <f>MAX(BU79:BZ93)</f>
        <v>0</v>
      </c>
      <c r="BV73" s="183"/>
      <c r="BW73" s="183"/>
      <c r="BX73" s="183"/>
      <c r="BY73" s="183"/>
      <c r="BZ73" s="184"/>
      <c r="CA73" s="182">
        <f>MAX(CA79:CF93)</f>
        <v>0</v>
      </c>
      <c r="CB73" s="183"/>
      <c r="CC73" s="183"/>
      <c r="CD73" s="183"/>
      <c r="CE73" s="183"/>
      <c r="CF73" s="184"/>
      <c r="CG73" s="182">
        <f>MAX(CG79:CL93)</f>
        <v>0</v>
      </c>
      <c r="CH73" s="183"/>
      <c r="CI73" s="183"/>
      <c r="CJ73" s="183"/>
      <c r="CK73" s="183"/>
      <c r="CL73" s="184"/>
      <c r="CM73" s="182">
        <f>MAX(CM79:CR93)</f>
        <v>0</v>
      </c>
      <c r="CN73" s="183"/>
      <c r="CO73" s="183"/>
      <c r="CP73" s="183"/>
      <c r="CQ73" s="183"/>
      <c r="CR73" s="184"/>
      <c r="CS73" s="182">
        <f>MAX(CS79:CX93)</f>
        <v>0</v>
      </c>
      <c r="CT73" s="183"/>
      <c r="CU73" s="183"/>
      <c r="CV73" s="183"/>
      <c r="CW73" s="183"/>
      <c r="CX73" s="184"/>
      <c r="CY73" s="51"/>
      <c r="CZ73" s="51"/>
      <c r="DA73" s="51"/>
      <c r="DB73" s="51"/>
      <c r="DC73" s="51"/>
      <c r="DD73" s="51"/>
      <c r="DE73" s="51"/>
      <c r="DF73" s="51"/>
    </row>
    <row r="74" spans="1:113" s="65" customFormat="1" ht="14.25" customHeight="1" x14ac:dyDescent="0.2">
      <c r="A74" s="51"/>
      <c r="B74" s="51"/>
      <c r="C74" s="51"/>
      <c r="D74" s="52"/>
      <c r="E74" s="111"/>
      <c r="F74" s="170" t="s">
        <v>29</v>
      </c>
      <c r="G74" s="232"/>
      <c r="H74" s="232"/>
      <c r="I74" s="232"/>
      <c r="J74" s="232"/>
      <c r="K74" s="232"/>
      <c r="L74" s="220"/>
      <c r="M74" s="179">
        <f>SUM($D79*M79,$D80*M80,$D81*M81,$D82*M82,$D83*M83,$D84*M84,$D85*M85,$D86*M86,$D87*M87,$D88*M88,$D89*M89,$D90*M90,$D91*M91,$D92*M92,$D93*M93)</f>
        <v>0</v>
      </c>
      <c r="N74" s="180"/>
      <c r="O74" s="180"/>
      <c r="P74" s="180"/>
      <c r="Q74" s="180"/>
      <c r="R74" s="181"/>
      <c r="S74" s="179">
        <f>SUM($D79*S79,$D80*S80,$D81*S81,$D82*S82,$D83*S83,$D84*S84,$D85*S85,$D86*S86,$D87*S87,$D88*S88,$D89*S89,$D90*S90,$D91*S91,$D92*S92,$D93*S93)</f>
        <v>0</v>
      </c>
      <c r="T74" s="180"/>
      <c r="U74" s="180"/>
      <c r="V74" s="180"/>
      <c r="W74" s="180"/>
      <c r="X74" s="181"/>
      <c r="Y74" s="179">
        <f>SUM($D79*Y79,$D80*Y80,$D81*Y81,$D82*Y82,$D83*Y83,$D84*Y84,$D85*Y85,$D86*Y86,$D87*Y87,$D88*Y88,$D89*Y89,$D90*Y90,$D91*Y91,$D92*Y92,$D93*Y93)</f>
        <v>0</v>
      </c>
      <c r="Z74" s="180"/>
      <c r="AA74" s="180"/>
      <c r="AB74" s="180"/>
      <c r="AC74" s="180"/>
      <c r="AD74" s="181"/>
      <c r="AE74" s="179">
        <f>SUM($D79*AE79,$D80*AE80,$D81*AE81,$D82*AE82,$D83*AE83,$D84*AE84,$D85*AE85,$D86*AE86,$D87*AE87,$D88*AE88,$D89*AE89,$D90*AE90,$D91*AE91,$D92*AE92,$D93*AE93)</f>
        <v>0</v>
      </c>
      <c r="AF74" s="180"/>
      <c r="AG74" s="180"/>
      <c r="AH74" s="180"/>
      <c r="AI74" s="180"/>
      <c r="AJ74" s="181"/>
      <c r="AK74" s="179">
        <f>SUM($D79*AK79,$D80*AK80,$D81*AK81,$D82*AK82,$D83*AK83,$D84*AK84,$D85*AK85,$D86*AK86,$D87*AK87,$D88*AK88,$D89*AK89,$D90*AK90,$D91*AK91,$D92*AK92,$D93*AK93)</f>
        <v>0</v>
      </c>
      <c r="AL74" s="180"/>
      <c r="AM74" s="180"/>
      <c r="AN74" s="180"/>
      <c r="AO74" s="180"/>
      <c r="AP74" s="181"/>
      <c r="AQ74" s="179">
        <f>SUM($D79*AQ79,$D80*AQ80,$D81*AQ81,$D82*AQ82,$D83*AQ83,$D84*AQ84,$D85*AQ85,$D86*AQ86,$D87*AQ87,$D88*AQ88,$D89*AQ89,$D90*AQ90,$D91*AQ91,$D92*AQ92,$D93*AQ93)</f>
        <v>0</v>
      </c>
      <c r="AR74" s="180"/>
      <c r="AS74" s="180"/>
      <c r="AT74" s="180"/>
      <c r="AU74" s="180"/>
      <c r="AV74" s="181"/>
      <c r="AW74" s="179">
        <f>SUM($D79*AW79,$D80*AW80,$D81*AW81,$D82*AW82,$D83*AW83,$D84*AW84,$D85*AW85,$D86*AW86,$D87*AW87,$D88*AW88,$D89*AW89,$D90*AW90,$D91*AW91,$D92*AW92,$D93*AW93)</f>
        <v>0</v>
      </c>
      <c r="AX74" s="180"/>
      <c r="AY74" s="180"/>
      <c r="AZ74" s="180"/>
      <c r="BA74" s="180"/>
      <c r="BB74" s="181"/>
      <c r="BC74" s="179">
        <f>SUM($D79*BC79,$D80*BC80,$D81*BC81,$D82*BC82,$D83*BC83,$D84*BC84,$D85*BC85,$D86*BC86,$D87*BC87,$D88*BC88,$D89*BC89,$D90*BC90,$D91*BC91,$D92*BC92,$D93*BC93)</f>
        <v>0</v>
      </c>
      <c r="BD74" s="180"/>
      <c r="BE74" s="180"/>
      <c r="BF74" s="180"/>
      <c r="BG74" s="180"/>
      <c r="BH74" s="181"/>
      <c r="BI74" s="179">
        <f>SUM($D79*BI79,$D80*BI80,$D81*BI81,$D82*BI82,$D83*BI83,$D84*BI84,$D85*BI85,$D86*BI86,$D87*BI87,$D88*BI88,$D89*BI89,$D90*BI90,$D91*BI91,$D92*BI92,$D93*BI93)</f>
        <v>0</v>
      </c>
      <c r="BJ74" s="180"/>
      <c r="BK74" s="180"/>
      <c r="BL74" s="180"/>
      <c r="BM74" s="180"/>
      <c r="BN74" s="181"/>
      <c r="BO74" s="179">
        <f>SUM($D79*BO79,$D80*BO80,$D81*BO81,$D82*BO82,$D83*BO83,$D84*BO84,$D85*BO85,$D86*BO86,$D87*BO87,$D88*BO88,$D89*BO89,$D90*BO90,$D91*BO91,$D92*BO92,$D93*BO93)</f>
        <v>0</v>
      </c>
      <c r="BP74" s="180"/>
      <c r="BQ74" s="180"/>
      <c r="BR74" s="180"/>
      <c r="BS74" s="180"/>
      <c r="BT74" s="181"/>
      <c r="BU74" s="179">
        <f>SUM($D79*BU79,$D80*BU80,$D81*BU81,$D82*BU82,$D83*BU83,$D84*BU84,$D85*BU85,$D86*BU86,$D87*BU87,$D88*BU88,$D89*BU89,$D90*BU90,$D91*BU91,$D92*BU92,$D93*BU93)</f>
        <v>0</v>
      </c>
      <c r="BV74" s="180"/>
      <c r="BW74" s="180"/>
      <c r="BX74" s="180"/>
      <c r="BY74" s="180"/>
      <c r="BZ74" s="181"/>
      <c r="CA74" s="179">
        <f>SUM($D79*CA79,$D80*CA80,$D81*CA81,$D82*CA82,$D83*CA83,$D84*CA84,$D85*CA85,$D86*CA86,$D87*CA87,$D88*CA88,$D89*CA89,$D90*CA90,$D91*CA91,$D92*CA92,$D93*CA93)</f>
        <v>0</v>
      </c>
      <c r="CB74" s="180"/>
      <c r="CC74" s="180"/>
      <c r="CD74" s="180"/>
      <c r="CE74" s="180"/>
      <c r="CF74" s="181"/>
      <c r="CG74" s="179">
        <f>SUM($D79*CG79,$D80*CG80,$D81*CG81,$D82*CG82,$D83*CG83,$D84*CG84,$D85*CG85,$D86*CG86,$D87*CG87,$D88*CG88,$D89*CG89,$D90*CG90,$D91*CG91,$D92*CG92,$D93*CG93)</f>
        <v>0</v>
      </c>
      <c r="CH74" s="180"/>
      <c r="CI74" s="180"/>
      <c r="CJ74" s="180"/>
      <c r="CK74" s="180"/>
      <c r="CL74" s="181"/>
      <c r="CM74" s="179">
        <f>SUM($D79*CM79,$D80*CM80,$D81*CM81,$D82*CM82,$D83*CM83,$D84*CM84,$D85*CM85,$D86*CM86,$D87*CM87,$D88*CM88,$D89*CM89,$D90*CM90,$D91*CM91,$D92*CM92,$D93*CM93)</f>
        <v>0</v>
      </c>
      <c r="CN74" s="180"/>
      <c r="CO74" s="180"/>
      <c r="CP74" s="180"/>
      <c r="CQ74" s="180"/>
      <c r="CR74" s="181"/>
      <c r="CS74" s="179">
        <f>SUM($D79*CS79,$D80*CS80,$D81*CS81,$D82*CS82,$D83*CS83,$D84*CS84,$D85*CS85,$D86*CS86,$D87*CS87,$D88*CS88,$D89*CS89,$D90*CS90,$D91*CS91,$D92*CS92,$D93*CS93)</f>
        <v>0</v>
      </c>
      <c r="CT74" s="180"/>
      <c r="CU74" s="180"/>
      <c r="CV74" s="180"/>
      <c r="CW74" s="180"/>
      <c r="CX74" s="181"/>
      <c r="CY74" s="17"/>
      <c r="CZ74" s="17"/>
      <c r="DA74" s="17"/>
      <c r="DB74" s="17"/>
      <c r="DC74" s="17"/>
      <c r="DD74" s="17"/>
      <c r="DE74" s="17"/>
      <c r="DF74" s="17"/>
    </row>
    <row r="75" spans="1:113" s="65" customFormat="1" ht="14.25" customHeight="1" x14ac:dyDescent="0.25">
      <c r="A75" s="114"/>
      <c r="B75" s="114"/>
      <c r="C75" s="114"/>
      <c r="D75" s="114"/>
      <c r="E75" s="114"/>
      <c r="F75" s="170" t="s">
        <v>1</v>
      </c>
      <c r="G75" s="232"/>
      <c r="H75" s="232"/>
      <c r="I75" s="232"/>
      <c r="J75" s="232"/>
      <c r="K75" s="232"/>
      <c r="L75" s="220"/>
      <c r="M75" s="176" t="str">
        <f>IF(M$74&gt;0,(M$74/SUM($74:$74))*100, "")</f>
        <v/>
      </c>
      <c r="N75" s="177"/>
      <c r="O75" s="177"/>
      <c r="P75" s="177"/>
      <c r="Q75" s="177"/>
      <c r="R75" s="178"/>
      <c r="S75" s="176" t="str">
        <f>IF(S$74&gt;0,(S$74/SUM($74:$74))*100, "")</f>
        <v/>
      </c>
      <c r="T75" s="177"/>
      <c r="U75" s="177"/>
      <c r="V75" s="177"/>
      <c r="W75" s="177"/>
      <c r="X75" s="178"/>
      <c r="Y75" s="176" t="str">
        <f>IF(Y$74&gt;0,(Y$74/SUM($74:$74))*100, "")</f>
        <v/>
      </c>
      <c r="Z75" s="177"/>
      <c r="AA75" s="177"/>
      <c r="AB75" s="177"/>
      <c r="AC75" s="177"/>
      <c r="AD75" s="178"/>
      <c r="AE75" s="176" t="str">
        <f>IF(AE$74&gt;0,(AE$74/SUM($74:$74))*100, "")</f>
        <v/>
      </c>
      <c r="AF75" s="177"/>
      <c r="AG75" s="177"/>
      <c r="AH75" s="177"/>
      <c r="AI75" s="177"/>
      <c r="AJ75" s="178"/>
      <c r="AK75" s="176" t="str">
        <f>IF(AK$74&gt;0,(AK$74/SUM($74:$74))*100, "")</f>
        <v/>
      </c>
      <c r="AL75" s="177"/>
      <c r="AM75" s="177"/>
      <c r="AN75" s="177"/>
      <c r="AO75" s="177"/>
      <c r="AP75" s="178"/>
      <c r="AQ75" s="176" t="str">
        <f>IF(AQ$74&gt;0,(AQ$74/SUM($74:$74))*100, "")</f>
        <v/>
      </c>
      <c r="AR75" s="177"/>
      <c r="AS75" s="177"/>
      <c r="AT75" s="177"/>
      <c r="AU75" s="177"/>
      <c r="AV75" s="178"/>
      <c r="AW75" s="176" t="str">
        <f>IF(AW$74&gt;0,(AW$74/SUM($74:$74))*100, "")</f>
        <v/>
      </c>
      <c r="AX75" s="177"/>
      <c r="AY75" s="177"/>
      <c r="AZ75" s="177"/>
      <c r="BA75" s="177"/>
      <c r="BB75" s="178"/>
      <c r="BC75" s="176" t="str">
        <f>IF(BC$74&gt;0,(BC$74/SUM($74:$74))*100, "")</f>
        <v/>
      </c>
      <c r="BD75" s="177"/>
      <c r="BE75" s="177"/>
      <c r="BF75" s="177"/>
      <c r="BG75" s="177"/>
      <c r="BH75" s="178"/>
      <c r="BI75" s="176" t="str">
        <f>IF(BI$74&gt;0,(BI$74/SUM($74:$74))*100, "")</f>
        <v/>
      </c>
      <c r="BJ75" s="177"/>
      <c r="BK75" s="177"/>
      <c r="BL75" s="177"/>
      <c r="BM75" s="177"/>
      <c r="BN75" s="178"/>
      <c r="BO75" s="176" t="str">
        <f>IF(BO$74&gt;0,(BO$74/SUM($74:$74))*100, "")</f>
        <v/>
      </c>
      <c r="BP75" s="177"/>
      <c r="BQ75" s="177"/>
      <c r="BR75" s="177"/>
      <c r="BS75" s="177"/>
      <c r="BT75" s="178"/>
      <c r="BU75" s="176" t="str">
        <f>IF(BU$74&gt;0,(BU$74/SUM($74:$74))*100, "")</f>
        <v/>
      </c>
      <c r="BV75" s="177"/>
      <c r="BW75" s="177"/>
      <c r="BX75" s="177"/>
      <c r="BY75" s="177"/>
      <c r="BZ75" s="178"/>
      <c r="CA75" s="176" t="str">
        <f>IF(CA$74&gt;0,(CA$74/SUM($74:$74))*100, "")</f>
        <v/>
      </c>
      <c r="CB75" s="177"/>
      <c r="CC75" s="177"/>
      <c r="CD75" s="177"/>
      <c r="CE75" s="177"/>
      <c r="CF75" s="178"/>
      <c r="CG75" s="176" t="str">
        <f>IF(CG$74&gt;0,(CG$74/SUM($74:$74))*100, "")</f>
        <v/>
      </c>
      <c r="CH75" s="177"/>
      <c r="CI75" s="177"/>
      <c r="CJ75" s="177"/>
      <c r="CK75" s="177"/>
      <c r="CL75" s="178"/>
      <c r="CM75" s="176" t="str">
        <f>IF(CM$74&gt;0,(CM$74/SUM($74:$74))*100, "")</f>
        <v/>
      </c>
      <c r="CN75" s="177"/>
      <c r="CO75" s="177"/>
      <c r="CP75" s="177"/>
      <c r="CQ75" s="177"/>
      <c r="CR75" s="178"/>
      <c r="CS75" s="176" t="str">
        <f>IF(CS$74&gt;0,(CS$74/SUM($74:$74))*100, "")</f>
        <v/>
      </c>
      <c r="CT75" s="177"/>
      <c r="CU75" s="177"/>
      <c r="CV75" s="177"/>
      <c r="CW75" s="177"/>
      <c r="CX75" s="178"/>
      <c r="CY75" s="225" t="s">
        <v>48</v>
      </c>
      <c r="CZ75" s="226"/>
      <c r="DA75" s="226"/>
      <c r="DB75" s="226"/>
      <c r="DC75" s="226"/>
      <c r="DD75" s="226"/>
      <c r="DE75" s="226"/>
      <c r="DF75" s="126"/>
      <c r="DG75" s="127"/>
      <c r="DH75" s="127"/>
      <c r="DI75" s="127"/>
    </row>
    <row r="76" spans="1:113" ht="23.25" customHeight="1" x14ac:dyDescent="0.2">
      <c r="A76" s="17"/>
      <c r="B76" s="47"/>
      <c r="C76" s="47"/>
      <c r="D76" s="48"/>
      <c r="E76" s="48"/>
      <c r="F76" s="215"/>
      <c r="G76" s="215"/>
      <c r="H76" s="215"/>
      <c r="I76" s="215"/>
      <c r="J76" s="215"/>
      <c r="K76" s="215"/>
      <c r="L76" s="215"/>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17"/>
      <c r="CZ76" s="17"/>
      <c r="DA76" s="17"/>
      <c r="DB76" s="17"/>
      <c r="DC76" s="17"/>
      <c r="DD76" s="17"/>
      <c r="DE76" s="17"/>
      <c r="DF76" s="17"/>
    </row>
    <row r="77" spans="1:113" ht="23.25" customHeight="1" x14ac:dyDescent="0.2">
      <c r="B77" s="29"/>
      <c r="C77" s="29"/>
      <c r="D77" s="40"/>
      <c r="E77" s="40"/>
      <c r="F77" s="188"/>
      <c r="G77" s="188"/>
      <c r="H77" s="188"/>
      <c r="I77" s="188"/>
      <c r="J77" s="188"/>
      <c r="K77" s="188"/>
      <c r="L77" s="188"/>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70"/>
      <c r="CZ77" s="46"/>
      <c r="DA77" s="46"/>
      <c r="DB77" s="46"/>
      <c r="DC77" s="46"/>
      <c r="DD77" s="46"/>
      <c r="DE77" s="46"/>
      <c r="DF77" s="46"/>
    </row>
    <row r="78" spans="1:113" ht="23.25" hidden="1" customHeight="1" x14ac:dyDescent="0.2">
      <c r="B78" s="29"/>
      <c r="C78" s="29"/>
      <c r="D78" s="165" t="s">
        <v>50</v>
      </c>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c r="BI78" s="166"/>
      <c r="BJ78" s="166"/>
      <c r="BK78" s="166"/>
      <c r="BL78" s="166"/>
      <c r="BM78" s="166"/>
      <c r="BN78" s="166"/>
      <c r="BO78" s="166"/>
      <c r="BP78" s="166"/>
      <c r="BQ78" s="166"/>
      <c r="BR78" s="166"/>
      <c r="BS78" s="166"/>
      <c r="BT78" s="166"/>
      <c r="BU78" s="166"/>
      <c r="BV78" s="166"/>
      <c r="BW78" s="166"/>
      <c r="BX78" s="166"/>
      <c r="BY78" s="166"/>
      <c r="BZ78" s="166"/>
      <c r="CA78" s="166"/>
      <c r="CB78" s="166"/>
      <c r="CC78" s="166"/>
      <c r="CD78" s="166"/>
      <c r="CE78" s="166"/>
      <c r="CF78" s="166"/>
      <c r="CG78" s="166"/>
      <c r="CH78" s="166"/>
      <c r="CI78" s="166"/>
      <c r="CJ78" s="166"/>
      <c r="CK78" s="166"/>
      <c r="CL78" s="166"/>
      <c r="CM78" s="166"/>
      <c r="CN78" s="166"/>
      <c r="CO78" s="166"/>
      <c r="CP78" s="166"/>
      <c r="CQ78" s="166"/>
      <c r="CR78" s="166"/>
      <c r="CS78" s="166"/>
      <c r="CT78" s="166"/>
      <c r="CU78" s="166"/>
      <c r="CV78" s="166"/>
      <c r="CW78" s="166"/>
      <c r="CX78" s="167"/>
      <c r="CY78" s="70"/>
      <c r="CZ78" s="46"/>
      <c r="DA78" s="46"/>
      <c r="DB78" s="46"/>
      <c r="DC78" s="46"/>
      <c r="DD78" s="46"/>
      <c r="DE78" s="46"/>
      <c r="DF78" s="46"/>
    </row>
    <row r="79" spans="1:113" s="46" customFormat="1" ht="23.25" hidden="1" customHeight="1" x14ac:dyDescent="0.25">
      <c r="B79" s="78"/>
      <c r="C79" s="78"/>
      <c r="D79" s="43">
        <f t="shared" ref="D79:D93" si="2">IF($D56&lt;&gt;"",$D56,0)</f>
        <v>0</v>
      </c>
      <c r="E79" s="44"/>
      <c r="F79" s="216"/>
      <c r="G79" s="231"/>
      <c r="H79" s="231"/>
      <c r="I79" s="231"/>
      <c r="J79" s="231"/>
      <c r="K79" s="231"/>
      <c r="L79" s="217"/>
      <c r="M79" s="208" t="str">
        <f t="shared" ref="M79:M93" si="3">IF(M56="Θ", 9, IF(M56="Ο", 3, IF(M56="▲", 1, "0")))</f>
        <v>0</v>
      </c>
      <c r="N79" s="209"/>
      <c r="O79" s="209"/>
      <c r="P79" s="209"/>
      <c r="Q79" s="209"/>
      <c r="R79" s="210"/>
      <c r="S79" s="208" t="str">
        <f t="shared" ref="S79:S93" si="4">IF(S56="Θ", 9, IF(S56="Ο", 3, IF(S56="▲", 1, "0")))</f>
        <v>0</v>
      </c>
      <c r="T79" s="209"/>
      <c r="U79" s="209"/>
      <c r="V79" s="209"/>
      <c r="W79" s="209"/>
      <c r="X79" s="210"/>
      <c r="Y79" s="208" t="str">
        <f t="shared" ref="Y79:Y93" si="5">IF(Y56="Θ", 9, IF(Y56="Ο", 3, IF(Y56="▲", 1, "0")))</f>
        <v>0</v>
      </c>
      <c r="Z79" s="209"/>
      <c r="AA79" s="209"/>
      <c r="AB79" s="209"/>
      <c r="AC79" s="209"/>
      <c r="AD79" s="210"/>
      <c r="AE79" s="208" t="str">
        <f t="shared" ref="AE79:AE93" si="6">IF(AE56="Θ", 9, IF(AE56="Ο", 3, IF(AE56="▲", 1, "0")))</f>
        <v>0</v>
      </c>
      <c r="AF79" s="209"/>
      <c r="AG79" s="209"/>
      <c r="AH79" s="209"/>
      <c r="AI79" s="209"/>
      <c r="AJ79" s="210"/>
      <c r="AK79" s="208" t="str">
        <f t="shared" ref="AK79:AK93" si="7">IF(AK56="Θ", 9, IF(AK56="Ο", 3, IF(AK56="▲", 1, "0")))</f>
        <v>0</v>
      </c>
      <c r="AL79" s="209"/>
      <c r="AM79" s="209"/>
      <c r="AN79" s="209"/>
      <c r="AO79" s="209"/>
      <c r="AP79" s="210"/>
      <c r="AQ79" s="208" t="str">
        <f t="shared" ref="AQ79:AQ93" si="8">IF(AQ56="Θ", 9, IF(AQ56="Ο", 3, IF(AQ56="▲", 1, "0")))</f>
        <v>0</v>
      </c>
      <c r="AR79" s="209"/>
      <c r="AS79" s="209"/>
      <c r="AT79" s="209"/>
      <c r="AU79" s="209"/>
      <c r="AV79" s="210"/>
      <c r="AW79" s="208" t="str">
        <f t="shared" ref="AW79:AW93" si="9">IF(AW56="Θ", 9, IF(AW56="Ο", 3, IF(AW56="▲", 1, "0")))</f>
        <v>0</v>
      </c>
      <c r="AX79" s="209"/>
      <c r="AY79" s="209"/>
      <c r="AZ79" s="209"/>
      <c r="BA79" s="209"/>
      <c r="BB79" s="210"/>
      <c r="BC79" s="208" t="str">
        <f t="shared" ref="BC79:BC93" si="10">IF(BC56="Θ", 9, IF(BC56="Ο", 3, IF(BC56="▲", 1, "0")))</f>
        <v>0</v>
      </c>
      <c r="BD79" s="209"/>
      <c r="BE79" s="209"/>
      <c r="BF79" s="209"/>
      <c r="BG79" s="209"/>
      <c r="BH79" s="210"/>
      <c r="BI79" s="208" t="str">
        <f t="shared" ref="BI79:BI93" si="11">IF(BI56="Θ", 9, IF(BI56="Ο", 3, IF(BI56="▲", 1, "0")))</f>
        <v>0</v>
      </c>
      <c r="BJ79" s="209"/>
      <c r="BK79" s="209"/>
      <c r="BL79" s="209"/>
      <c r="BM79" s="209"/>
      <c r="BN79" s="210"/>
      <c r="BO79" s="208" t="str">
        <f t="shared" ref="BO79:BO93" si="12">IF(BO56="Θ", 9, IF(BO56="Ο", 3, IF(BO56="▲", 1, "0")))</f>
        <v>0</v>
      </c>
      <c r="BP79" s="209"/>
      <c r="BQ79" s="209"/>
      <c r="BR79" s="209"/>
      <c r="BS79" s="209"/>
      <c r="BT79" s="210"/>
      <c r="BU79" s="208" t="str">
        <f t="shared" ref="BU79:BU93" si="13">IF(BU56="Θ", 9, IF(BU56="Ο", 3, IF(BU56="▲", 1, "0")))</f>
        <v>0</v>
      </c>
      <c r="BV79" s="209"/>
      <c r="BW79" s="209"/>
      <c r="BX79" s="209"/>
      <c r="BY79" s="209"/>
      <c r="BZ79" s="210"/>
      <c r="CA79" s="208" t="str">
        <f t="shared" ref="CA79:CA93" si="14">IF(CA56="Θ", 9, IF(CA56="Ο", 3, IF(CA56="▲", 1, "0")))</f>
        <v>0</v>
      </c>
      <c r="CB79" s="209"/>
      <c r="CC79" s="209"/>
      <c r="CD79" s="209"/>
      <c r="CE79" s="209"/>
      <c r="CF79" s="210"/>
      <c r="CG79" s="208" t="str">
        <f t="shared" ref="CG79:CG93" si="15">IF(CG56="Θ", 9, IF(CG56="Ο", 3, IF(CG56="▲", 1, "0")))</f>
        <v>0</v>
      </c>
      <c r="CH79" s="209"/>
      <c r="CI79" s="209"/>
      <c r="CJ79" s="209"/>
      <c r="CK79" s="209"/>
      <c r="CL79" s="210"/>
      <c r="CM79" s="208" t="str">
        <f t="shared" ref="CM79:CM93" si="16">IF(CM56="Θ", 9, IF(CM56="Ο", 3, IF(CM56="▲", 1, "0")))</f>
        <v>0</v>
      </c>
      <c r="CN79" s="209"/>
      <c r="CO79" s="209"/>
      <c r="CP79" s="209"/>
      <c r="CQ79" s="209"/>
      <c r="CR79" s="210"/>
      <c r="CS79" s="208" t="str">
        <f t="shared" ref="CS79:CS93" si="17">IF(CS56="Θ", 9, IF(CS56="Ο", 3, IF(CS56="▲", 1, "0")))</f>
        <v>0</v>
      </c>
      <c r="CT79" s="209"/>
      <c r="CU79" s="209"/>
      <c r="CV79" s="209"/>
      <c r="CW79" s="209"/>
      <c r="CX79" s="210"/>
      <c r="CY79" s="70"/>
    </row>
    <row r="80" spans="1:113" s="46" customFormat="1" ht="23.25" hidden="1" customHeight="1" x14ac:dyDescent="0.25">
      <c r="B80" s="78"/>
      <c r="C80" s="78"/>
      <c r="D80" s="43">
        <f t="shared" si="2"/>
        <v>0</v>
      </c>
      <c r="E80" s="44"/>
      <c r="F80" s="216"/>
      <c r="G80" s="231"/>
      <c r="H80" s="231"/>
      <c r="I80" s="231"/>
      <c r="J80" s="231"/>
      <c r="K80" s="231"/>
      <c r="L80" s="217"/>
      <c r="M80" s="208" t="str">
        <f t="shared" si="3"/>
        <v>0</v>
      </c>
      <c r="N80" s="209"/>
      <c r="O80" s="209"/>
      <c r="P80" s="209"/>
      <c r="Q80" s="209"/>
      <c r="R80" s="210"/>
      <c r="S80" s="208" t="str">
        <f t="shared" si="4"/>
        <v>0</v>
      </c>
      <c r="T80" s="209"/>
      <c r="U80" s="209"/>
      <c r="V80" s="209"/>
      <c r="W80" s="209"/>
      <c r="X80" s="210"/>
      <c r="Y80" s="208" t="str">
        <f t="shared" si="5"/>
        <v>0</v>
      </c>
      <c r="Z80" s="209"/>
      <c r="AA80" s="209"/>
      <c r="AB80" s="209"/>
      <c r="AC80" s="209"/>
      <c r="AD80" s="210"/>
      <c r="AE80" s="208" t="str">
        <f t="shared" si="6"/>
        <v>0</v>
      </c>
      <c r="AF80" s="209"/>
      <c r="AG80" s="209"/>
      <c r="AH80" s="209"/>
      <c r="AI80" s="209"/>
      <c r="AJ80" s="210"/>
      <c r="AK80" s="208" t="str">
        <f t="shared" si="7"/>
        <v>0</v>
      </c>
      <c r="AL80" s="209"/>
      <c r="AM80" s="209"/>
      <c r="AN80" s="209"/>
      <c r="AO80" s="209"/>
      <c r="AP80" s="210"/>
      <c r="AQ80" s="208" t="str">
        <f t="shared" si="8"/>
        <v>0</v>
      </c>
      <c r="AR80" s="209"/>
      <c r="AS80" s="209"/>
      <c r="AT80" s="209"/>
      <c r="AU80" s="209"/>
      <c r="AV80" s="210"/>
      <c r="AW80" s="208" t="str">
        <f t="shared" si="9"/>
        <v>0</v>
      </c>
      <c r="AX80" s="209"/>
      <c r="AY80" s="209"/>
      <c r="AZ80" s="209"/>
      <c r="BA80" s="209"/>
      <c r="BB80" s="210"/>
      <c r="BC80" s="208" t="str">
        <f t="shared" si="10"/>
        <v>0</v>
      </c>
      <c r="BD80" s="209"/>
      <c r="BE80" s="209"/>
      <c r="BF80" s="209"/>
      <c r="BG80" s="209"/>
      <c r="BH80" s="210"/>
      <c r="BI80" s="208" t="str">
        <f t="shared" si="11"/>
        <v>0</v>
      </c>
      <c r="BJ80" s="209"/>
      <c r="BK80" s="209"/>
      <c r="BL80" s="209"/>
      <c r="BM80" s="209"/>
      <c r="BN80" s="210"/>
      <c r="BO80" s="208" t="str">
        <f t="shared" si="12"/>
        <v>0</v>
      </c>
      <c r="BP80" s="209"/>
      <c r="BQ80" s="209"/>
      <c r="BR80" s="209"/>
      <c r="BS80" s="209"/>
      <c r="BT80" s="210"/>
      <c r="BU80" s="208" t="str">
        <f t="shared" si="13"/>
        <v>0</v>
      </c>
      <c r="BV80" s="209"/>
      <c r="BW80" s="209"/>
      <c r="BX80" s="209"/>
      <c r="BY80" s="209"/>
      <c r="BZ80" s="210"/>
      <c r="CA80" s="208" t="str">
        <f t="shared" si="14"/>
        <v>0</v>
      </c>
      <c r="CB80" s="209"/>
      <c r="CC80" s="209"/>
      <c r="CD80" s="209"/>
      <c r="CE80" s="209"/>
      <c r="CF80" s="210"/>
      <c r="CG80" s="208" t="str">
        <f t="shared" si="15"/>
        <v>0</v>
      </c>
      <c r="CH80" s="209"/>
      <c r="CI80" s="209"/>
      <c r="CJ80" s="209"/>
      <c r="CK80" s="209"/>
      <c r="CL80" s="210"/>
      <c r="CM80" s="208" t="str">
        <f t="shared" si="16"/>
        <v>0</v>
      </c>
      <c r="CN80" s="209"/>
      <c r="CO80" s="209"/>
      <c r="CP80" s="209"/>
      <c r="CQ80" s="209"/>
      <c r="CR80" s="210"/>
      <c r="CS80" s="208" t="str">
        <f t="shared" si="17"/>
        <v>0</v>
      </c>
      <c r="CT80" s="209"/>
      <c r="CU80" s="209"/>
      <c r="CV80" s="209"/>
      <c r="CW80" s="209"/>
      <c r="CX80" s="210"/>
      <c r="CY80" s="70"/>
    </row>
    <row r="81" spans="2:110" s="46" customFormat="1" ht="23.25" hidden="1" customHeight="1" x14ac:dyDescent="0.25">
      <c r="B81" s="78"/>
      <c r="C81" s="78"/>
      <c r="D81" s="43">
        <f t="shared" si="2"/>
        <v>0</v>
      </c>
      <c r="E81" s="44"/>
      <c r="F81" s="216"/>
      <c r="G81" s="231"/>
      <c r="H81" s="231"/>
      <c r="I81" s="231"/>
      <c r="J81" s="231"/>
      <c r="K81" s="231"/>
      <c r="L81" s="217"/>
      <c r="M81" s="208" t="str">
        <f t="shared" si="3"/>
        <v>0</v>
      </c>
      <c r="N81" s="209"/>
      <c r="O81" s="209"/>
      <c r="P81" s="209"/>
      <c r="Q81" s="209"/>
      <c r="R81" s="210"/>
      <c r="S81" s="208" t="str">
        <f t="shared" si="4"/>
        <v>0</v>
      </c>
      <c r="T81" s="209"/>
      <c r="U81" s="209"/>
      <c r="V81" s="209"/>
      <c r="W81" s="209"/>
      <c r="X81" s="210"/>
      <c r="Y81" s="208" t="str">
        <f t="shared" si="5"/>
        <v>0</v>
      </c>
      <c r="Z81" s="209"/>
      <c r="AA81" s="209"/>
      <c r="AB81" s="209"/>
      <c r="AC81" s="209"/>
      <c r="AD81" s="210"/>
      <c r="AE81" s="208" t="str">
        <f t="shared" si="6"/>
        <v>0</v>
      </c>
      <c r="AF81" s="209"/>
      <c r="AG81" s="209"/>
      <c r="AH81" s="209"/>
      <c r="AI81" s="209"/>
      <c r="AJ81" s="210"/>
      <c r="AK81" s="208" t="str">
        <f t="shared" si="7"/>
        <v>0</v>
      </c>
      <c r="AL81" s="209"/>
      <c r="AM81" s="209"/>
      <c r="AN81" s="209"/>
      <c r="AO81" s="209"/>
      <c r="AP81" s="210"/>
      <c r="AQ81" s="208" t="str">
        <f t="shared" si="8"/>
        <v>0</v>
      </c>
      <c r="AR81" s="209"/>
      <c r="AS81" s="209"/>
      <c r="AT81" s="209"/>
      <c r="AU81" s="209"/>
      <c r="AV81" s="210"/>
      <c r="AW81" s="208" t="str">
        <f t="shared" si="9"/>
        <v>0</v>
      </c>
      <c r="AX81" s="209"/>
      <c r="AY81" s="209"/>
      <c r="AZ81" s="209"/>
      <c r="BA81" s="209"/>
      <c r="BB81" s="210"/>
      <c r="BC81" s="208" t="str">
        <f t="shared" si="10"/>
        <v>0</v>
      </c>
      <c r="BD81" s="209"/>
      <c r="BE81" s="209"/>
      <c r="BF81" s="209"/>
      <c r="BG81" s="209"/>
      <c r="BH81" s="210"/>
      <c r="BI81" s="208" t="str">
        <f t="shared" si="11"/>
        <v>0</v>
      </c>
      <c r="BJ81" s="209"/>
      <c r="BK81" s="209"/>
      <c r="BL81" s="209"/>
      <c r="BM81" s="209"/>
      <c r="BN81" s="210"/>
      <c r="BO81" s="208" t="str">
        <f t="shared" si="12"/>
        <v>0</v>
      </c>
      <c r="BP81" s="209"/>
      <c r="BQ81" s="209"/>
      <c r="BR81" s="209"/>
      <c r="BS81" s="209"/>
      <c r="BT81" s="210"/>
      <c r="BU81" s="208" t="str">
        <f t="shared" si="13"/>
        <v>0</v>
      </c>
      <c r="BV81" s="209"/>
      <c r="BW81" s="209"/>
      <c r="BX81" s="209"/>
      <c r="BY81" s="209"/>
      <c r="BZ81" s="210"/>
      <c r="CA81" s="208" t="str">
        <f t="shared" si="14"/>
        <v>0</v>
      </c>
      <c r="CB81" s="209"/>
      <c r="CC81" s="209"/>
      <c r="CD81" s="209"/>
      <c r="CE81" s="209"/>
      <c r="CF81" s="210"/>
      <c r="CG81" s="208" t="str">
        <f t="shared" si="15"/>
        <v>0</v>
      </c>
      <c r="CH81" s="209"/>
      <c r="CI81" s="209"/>
      <c r="CJ81" s="209"/>
      <c r="CK81" s="209"/>
      <c r="CL81" s="210"/>
      <c r="CM81" s="208" t="str">
        <f t="shared" si="16"/>
        <v>0</v>
      </c>
      <c r="CN81" s="209"/>
      <c r="CO81" s="209"/>
      <c r="CP81" s="209"/>
      <c r="CQ81" s="209"/>
      <c r="CR81" s="210"/>
      <c r="CS81" s="208" t="str">
        <f t="shared" si="17"/>
        <v>0</v>
      </c>
      <c r="CT81" s="209"/>
      <c r="CU81" s="209"/>
      <c r="CV81" s="209"/>
      <c r="CW81" s="209"/>
      <c r="CX81" s="210"/>
      <c r="CY81" s="70"/>
    </row>
    <row r="82" spans="2:110" s="46" customFormat="1" ht="23.25" hidden="1" customHeight="1" x14ac:dyDescent="0.25">
      <c r="B82" s="78"/>
      <c r="C82" s="78"/>
      <c r="D82" s="43">
        <f t="shared" si="2"/>
        <v>0</v>
      </c>
      <c r="E82" s="44"/>
      <c r="F82" s="216"/>
      <c r="G82" s="231"/>
      <c r="H82" s="231"/>
      <c r="I82" s="231"/>
      <c r="J82" s="231"/>
      <c r="K82" s="231"/>
      <c r="L82" s="217"/>
      <c r="M82" s="208" t="str">
        <f t="shared" si="3"/>
        <v>0</v>
      </c>
      <c r="N82" s="209"/>
      <c r="O82" s="209"/>
      <c r="P82" s="209"/>
      <c r="Q82" s="209"/>
      <c r="R82" s="210"/>
      <c r="S82" s="208" t="str">
        <f t="shared" si="4"/>
        <v>0</v>
      </c>
      <c r="T82" s="209"/>
      <c r="U82" s="209"/>
      <c r="V82" s="209"/>
      <c r="W82" s="209"/>
      <c r="X82" s="210"/>
      <c r="Y82" s="208" t="str">
        <f t="shared" si="5"/>
        <v>0</v>
      </c>
      <c r="Z82" s="209"/>
      <c r="AA82" s="209"/>
      <c r="AB82" s="209"/>
      <c r="AC82" s="209"/>
      <c r="AD82" s="210"/>
      <c r="AE82" s="208" t="str">
        <f t="shared" si="6"/>
        <v>0</v>
      </c>
      <c r="AF82" s="209"/>
      <c r="AG82" s="209"/>
      <c r="AH82" s="209"/>
      <c r="AI82" s="209"/>
      <c r="AJ82" s="210"/>
      <c r="AK82" s="208" t="str">
        <f t="shared" si="7"/>
        <v>0</v>
      </c>
      <c r="AL82" s="209"/>
      <c r="AM82" s="209"/>
      <c r="AN82" s="209"/>
      <c r="AO82" s="209"/>
      <c r="AP82" s="210"/>
      <c r="AQ82" s="208" t="str">
        <f t="shared" si="8"/>
        <v>0</v>
      </c>
      <c r="AR82" s="209"/>
      <c r="AS82" s="209"/>
      <c r="AT82" s="209"/>
      <c r="AU82" s="209"/>
      <c r="AV82" s="210"/>
      <c r="AW82" s="208" t="str">
        <f t="shared" si="9"/>
        <v>0</v>
      </c>
      <c r="AX82" s="209"/>
      <c r="AY82" s="209"/>
      <c r="AZ82" s="209"/>
      <c r="BA82" s="209"/>
      <c r="BB82" s="210"/>
      <c r="BC82" s="208" t="str">
        <f t="shared" si="10"/>
        <v>0</v>
      </c>
      <c r="BD82" s="209"/>
      <c r="BE82" s="209"/>
      <c r="BF82" s="209"/>
      <c r="BG82" s="209"/>
      <c r="BH82" s="210"/>
      <c r="BI82" s="208" t="str">
        <f t="shared" si="11"/>
        <v>0</v>
      </c>
      <c r="BJ82" s="209"/>
      <c r="BK82" s="209"/>
      <c r="BL82" s="209"/>
      <c r="BM82" s="209"/>
      <c r="BN82" s="210"/>
      <c r="BO82" s="208" t="str">
        <f t="shared" si="12"/>
        <v>0</v>
      </c>
      <c r="BP82" s="209"/>
      <c r="BQ82" s="209"/>
      <c r="BR82" s="209"/>
      <c r="BS82" s="209"/>
      <c r="BT82" s="210"/>
      <c r="BU82" s="208" t="str">
        <f t="shared" si="13"/>
        <v>0</v>
      </c>
      <c r="BV82" s="209"/>
      <c r="BW82" s="209"/>
      <c r="BX82" s="209"/>
      <c r="BY82" s="209"/>
      <c r="BZ82" s="210"/>
      <c r="CA82" s="208" t="str">
        <f t="shared" si="14"/>
        <v>0</v>
      </c>
      <c r="CB82" s="209"/>
      <c r="CC82" s="209"/>
      <c r="CD82" s="209"/>
      <c r="CE82" s="209"/>
      <c r="CF82" s="210"/>
      <c r="CG82" s="208" t="str">
        <f t="shared" si="15"/>
        <v>0</v>
      </c>
      <c r="CH82" s="209"/>
      <c r="CI82" s="209"/>
      <c r="CJ82" s="209"/>
      <c r="CK82" s="209"/>
      <c r="CL82" s="210"/>
      <c r="CM82" s="208" t="str">
        <f t="shared" si="16"/>
        <v>0</v>
      </c>
      <c r="CN82" s="209"/>
      <c r="CO82" s="209"/>
      <c r="CP82" s="209"/>
      <c r="CQ82" s="209"/>
      <c r="CR82" s="210"/>
      <c r="CS82" s="208" t="str">
        <f t="shared" si="17"/>
        <v>0</v>
      </c>
      <c r="CT82" s="209"/>
      <c r="CU82" s="209"/>
      <c r="CV82" s="209"/>
      <c r="CW82" s="209"/>
      <c r="CX82" s="210"/>
      <c r="CY82" s="70"/>
    </row>
    <row r="83" spans="2:110" s="46" customFormat="1" ht="23.25" hidden="1" customHeight="1" x14ac:dyDescent="0.25">
      <c r="B83" s="78"/>
      <c r="C83" s="78"/>
      <c r="D83" s="43">
        <f t="shared" si="2"/>
        <v>0</v>
      </c>
      <c r="E83" s="44"/>
      <c r="F83" s="216"/>
      <c r="G83" s="231"/>
      <c r="H83" s="231"/>
      <c r="I83" s="231"/>
      <c r="J83" s="231"/>
      <c r="K83" s="231"/>
      <c r="L83" s="217"/>
      <c r="M83" s="208" t="str">
        <f t="shared" si="3"/>
        <v>0</v>
      </c>
      <c r="N83" s="209"/>
      <c r="O83" s="209"/>
      <c r="P83" s="209"/>
      <c r="Q83" s="209"/>
      <c r="R83" s="210"/>
      <c r="S83" s="208" t="str">
        <f t="shared" si="4"/>
        <v>0</v>
      </c>
      <c r="T83" s="209"/>
      <c r="U83" s="209"/>
      <c r="V83" s="209"/>
      <c r="W83" s="209"/>
      <c r="X83" s="210"/>
      <c r="Y83" s="208" t="str">
        <f t="shared" si="5"/>
        <v>0</v>
      </c>
      <c r="Z83" s="209"/>
      <c r="AA83" s="209"/>
      <c r="AB83" s="209"/>
      <c r="AC83" s="209"/>
      <c r="AD83" s="210"/>
      <c r="AE83" s="208" t="str">
        <f t="shared" si="6"/>
        <v>0</v>
      </c>
      <c r="AF83" s="209"/>
      <c r="AG83" s="209"/>
      <c r="AH83" s="209"/>
      <c r="AI83" s="209"/>
      <c r="AJ83" s="210"/>
      <c r="AK83" s="208" t="str">
        <f t="shared" si="7"/>
        <v>0</v>
      </c>
      <c r="AL83" s="209"/>
      <c r="AM83" s="209"/>
      <c r="AN83" s="209"/>
      <c r="AO83" s="209"/>
      <c r="AP83" s="210"/>
      <c r="AQ83" s="208" t="str">
        <f t="shared" si="8"/>
        <v>0</v>
      </c>
      <c r="AR83" s="209"/>
      <c r="AS83" s="209"/>
      <c r="AT83" s="209"/>
      <c r="AU83" s="209"/>
      <c r="AV83" s="210"/>
      <c r="AW83" s="208" t="str">
        <f t="shared" si="9"/>
        <v>0</v>
      </c>
      <c r="AX83" s="209"/>
      <c r="AY83" s="209"/>
      <c r="AZ83" s="209"/>
      <c r="BA83" s="209"/>
      <c r="BB83" s="210"/>
      <c r="BC83" s="208" t="str">
        <f t="shared" si="10"/>
        <v>0</v>
      </c>
      <c r="BD83" s="209"/>
      <c r="BE83" s="209"/>
      <c r="BF83" s="209"/>
      <c r="BG83" s="209"/>
      <c r="BH83" s="210"/>
      <c r="BI83" s="208" t="str">
        <f t="shared" si="11"/>
        <v>0</v>
      </c>
      <c r="BJ83" s="209"/>
      <c r="BK83" s="209"/>
      <c r="BL83" s="209"/>
      <c r="BM83" s="209"/>
      <c r="BN83" s="210"/>
      <c r="BO83" s="208" t="str">
        <f t="shared" si="12"/>
        <v>0</v>
      </c>
      <c r="BP83" s="209"/>
      <c r="BQ83" s="209"/>
      <c r="BR83" s="209"/>
      <c r="BS83" s="209"/>
      <c r="BT83" s="210"/>
      <c r="BU83" s="208" t="str">
        <f t="shared" si="13"/>
        <v>0</v>
      </c>
      <c r="BV83" s="209"/>
      <c r="BW83" s="209"/>
      <c r="BX83" s="209"/>
      <c r="BY83" s="209"/>
      <c r="BZ83" s="210"/>
      <c r="CA83" s="208" t="str">
        <f t="shared" si="14"/>
        <v>0</v>
      </c>
      <c r="CB83" s="209"/>
      <c r="CC83" s="209"/>
      <c r="CD83" s="209"/>
      <c r="CE83" s="209"/>
      <c r="CF83" s="210"/>
      <c r="CG83" s="208" t="str">
        <f t="shared" si="15"/>
        <v>0</v>
      </c>
      <c r="CH83" s="209"/>
      <c r="CI83" s="209"/>
      <c r="CJ83" s="209"/>
      <c r="CK83" s="209"/>
      <c r="CL83" s="210"/>
      <c r="CM83" s="208" t="str">
        <f t="shared" si="16"/>
        <v>0</v>
      </c>
      <c r="CN83" s="209"/>
      <c r="CO83" s="209"/>
      <c r="CP83" s="209"/>
      <c r="CQ83" s="209"/>
      <c r="CR83" s="210"/>
      <c r="CS83" s="208" t="str">
        <f t="shared" si="17"/>
        <v>0</v>
      </c>
      <c r="CT83" s="209"/>
      <c r="CU83" s="209"/>
      <c r="CV83" s="209"/>
      <c r="CW83" s="209"/>
      <c r="CX83" s="210"/>
      <c r="CY83" s="70"/>
    </row>
    <row r="84" spans="2:110" s="46" customFormat="1" ht="23.25" hidden="1" customHeight="1" x14ac:dyDescent="0.25">
      <c r="B84" s="78"/>
      <c r="C84" s="78"/>
      <c r="D84" s="43">
        <f t="shared" si="2"/>
        <v>0</v>
      </c>
      <c r="E84" s="44"/>
      <c r="F84" s="216"/>
      <c r="G84" s="231"/>
      <c r="H84" s="231"/>
      <c r="I84" s="231"/>
      <c r="J84" s="231"/>
      <c r="K84" s="231"/>
      <c r="L84" s="217"/>
      <c r="M84" s="208" t="str">
        <f t="shared" si="3"/>
        <v>0</v>
      </c>
      <c r="N84" s="209"/>
      <c r="O84" s="209"/>
      <c r="P84" s="209"/>
      <c r="Q84" s="209"/>
      <c r="R84" s="210"/>
      <c r="S84" s="208" t="str">
        <f t="shared" si="4"/>
        <v>0</v>
      </c>
      <c r="T84" s="209"/>
      <c r="U84" s="209"/>
      <c r="V84" s="209"/>
      <c r="W84" s="209"/>
      <c r="X84" s="210"/>
      <c r="Y84" s="208" t="str">
        <f t="shared" si="5"/>
        <v>0</v>
      </c>
      <c r="Z84" s="209"/>
      <c r="AA84" s="209"/>
      <c r="AB84" s="209"/>
      <c r="AC84" s="209"/>
      <c r="AD84" s="210"/>
      <c r="AE84" s="208" t="str">
        <f t="shared" si="6"/>
        <v>0</v>
      </c>
      <c r="AF84" s="209"/>
      <c r="AG84" s="209"/>
      <c r="AH84" s="209"/>
      <c r="AI84" s="209"/>
      <c r="AJ84" s="210"/>
      <c r="AK84" s="208" t="str">
        <f t="shared" si="7"/>
        <v>0</v>
      </c>
      <c r="AL84" s="209"/>
      <c r="AM84" s="209"/>
      <c r="AN84" s="209"/>
      <c r="AO84" s="209"/>
      <c r="AP84" s="210"/>
      <c r="AQ84" s="208" t="str">
        <f t="shared" si="8"/>
        <v>0</v>
      </c>
      <c r="AR84" s="209"/>
      <c r="AS84" s="209"/>
      <c r="AT84" s="209"/>
      <c r="AU84" s="209"/>
      <c r="AV84" s="210"/>
      <c r="AW84" s="208" t="str">
        <f t="shared" si="9"/>
        <v>0</v>
      </c>
      <c r="AX84" s="209"/>
      <c r="AY84" s="209"/>
      <c r="AZ84" s="209"/>
      <c r="BA84" s="209"/>
      <c r="BB84" s="210"/>
      <c r="BC84" s="208" t="str">
        <f t="shared" si="10"/>
        <v>0</v>
      </c>
      <c r="BD84" s="209"/>
      <c r="BE84" s="209"/>
      <c r="BF84" s="209"/>
      <c r="BG84" s="209"/>
      <c r="BH84" s="210"/>
      <c r="BI84" s="208" t="str">
        <f t="shared" si="11"/>
        <v>0</v>
      </c>
      <c r="BJ84" s="209"/>
      <c r="BK84" s="209"/>
      <c r="BL84" s="209"/>
      <c r="BM84" s="209"/>
      <c r="BN84" s="210"/>
      <c r="BO84" s="208" t="str">
        <f t="shared" si="12"/>
        <v>0</v>
      </c>
      <c r="BP84" s="209"/>
      <c r="BQ84" s="209"/>
      <c r="BR84" s="209"/>
      <c r="BS84" s="209"/>
      <c r="BT84" s="210"/>
      <c r="BU84" s="208" t="str">
        <f t="shared" si="13"/>
        <v>0</v>
      </c>
      <c r="BV84" s="209"/>
      <c r="BW84" s="209"/>
      <c r="BX84" s="209"/>
      <c r="BY84" s="209"/>
      <c r="BZ84" s="210"/>
      <c r="CA84" s="208" t="str">
        <f t="shared" si="14"/>
        <v>0</v>
      </c>
      <c r="CB84" s="209"/>
      <c r="CC84" s="209"/>
      <c r="CD84" s="209"/>
      <c r="CE84" s="209"/>
      <c r="CF84" s="210"/>
      <c r="CG84" s="208" t="str">
        <f t="shared" si="15"/>
        <v>0</v>
      </c>
      <c r="CH84" s="209"/>
      <c r="CI84" s="209"/>
      <c r="CJ84" s="209"/>
      <c r="CK84" s="209"/>
      <c r="CL84" s="210"/>
      <c r="CM84" s="208" t="str">
        <f t="shared" si="16"/>
        <v>0</v>
      </c>
      <c r="CN84" s="209"/>
      <c r="CO84" s="209"/>
      <c r="CP84" s="209"/>
      <c r="CQ84" s="209"/>
      <c r="CR84" s="210"/>
      <c r="CS84" s="208" t="str">
        <f t="shared" si="17"/>
        <v>0</v>
      </c>
      <c r="CT84" s="209"/>
      <c r="CU84" s="209"/>
      <c r="CV84" s="209"/>
      <c r="CW84" s="209"/>
      <c r="CX84" s="210"/>
      <c r="CY84" s="70"/>
    </row>
    <row r="85" spans="2:110" s="46" customFormat="1" ht="23.25" hidden="1" customHeight="1" x14ac:dyDescent="0.25">
      <c r="B85" s="78"/>
      <c r="C85" s="78"/>
      <c r="D85" s="43">
        <f t="shared" si="2"/>
        <v>0</v>
      </c>
      <c r="E85" s="44"/>
      <c r="F85" s="216"/>
      <c r="G85" s="231"/>
      <c r="H85" s="231"/>
      <c r="I85" s="231"/>
      <c r="J85" s="231"/>
      <c r="K85" s="231"/>
      <c r="L85" s="217"/>
      <c r="M85" s="208" t="str">
        <f t="shared" si="3"/>
        <v>0</v>
      </c>
      <c r="N85" s="209"/>
      <c r="O85" s="209"/>
      <c r="P85" s="209"/>
      <c r="Q85" s="209"/>
      <c r="R85" s="210"/>
      <c r="S85" s="208" t="str">
        <f t="shared" si="4"/>
        <v>0</v>
      </c>
      <c r="T85" s="209"/>
      <c r="U85" s="209"/>
      <c r="V85" s="209"/>
      <c r="W85" s="209"/>
      <c r="X85" s="210"/>
      <c r="Y85" s="208" t="str">
        <f t="shared" si="5"/>
        <v>0</v>
      </c>
      <c r="Z85" s="209"/>
      <c r="AA85" s="209"/>
      <c r="AB85" s="209"/>
      <c r="AC85" s="209"/>
      <c r="AD85" s="210"/>
      <c r="AE85" s="208" t="str">
        <f t="shared" si="6"/>
        <v>0</v>
      </c>
      <c r="AF85" s="209"/>
      <c r="AG85" s="209"/>
      <c r="AH85" s="209"/>
      <c r="AI85" s="209"/>
      <c r="AJ85" s="210"/>
      <c r="AK85" s="208" t="str">
        <f t="shared" si="7"/>
        <v>0</v>
      </c>
      <c r="AL85" s="209"/>
      <c r="AM85" s="209"/>
      <c r="AN85" s="209"/>
      <c r="AO85" s="209"/>
      <c r="AP85" s="210"/>
      <c r="AQ85" s="208" t="str">
        <f t="shared" si="8"/>
        <v>0</v>
      </c>
      <c r="AR85" s="209"/>
      <c r="AS85" s="209"/>
      <c r="AT85" s="209"/>
      <c r="AU85" s="209"/>
      <c r="AV85" s="210"/>
      <c r="AW85" s="208" t="str">
        <f t="shared" si="9"/>
        <v>0</v>
      </c>
      <c r="AX85" s="209"/>
      <c r="AY85" s="209"/>
      <c r="AZ85" s="209"/>
      <c r="BA85" s="209"/>
      <c r="BB85" s="210"/>
      <c r="BC85" s="208" t="str">
        <f t="shared" si="10"/>
        <v>0</v>
      </c>
      <c r="BD85" s="209"/>
      <c r="BE85" s="209"/>
      <c r="BF85" s="209"/>
      <c r="BG85" s="209"/>
      <c r="BH85" s="210"/>
      <c r="BI85" s="208" t="str">
        <f t="shared" si="11"/>
        <v>0</v>
      </c>
      <c r="BJ85" s="209"/>
      <c r="BK85" s="209"/>
      <c r="BL85" s="209"/>
      <c r="BM85" s="209"/>
      <c r="BN85" s="210"/>
      <c r="BO85" s="208" t="str">
        <f t="shared" si="12"/>
        <v>0</v>
      </c>
      <c r="BP85" s="209"/>
      <c r="BQ85" s="209"/>
      <c r="BR85" s="209"/>
      <c r="BS85" s="209"/>
      <c r="BT85" s="210"/>
      <c r="BU85" s="208" t="str">
        <f t="shared" si="13"/>
        <v>0</v>
      </c>
      <c r="BV85" s="209"/>
      <c r="BW85" s="209"/>
      <c r="BX85" s="209"/>
      <c r="BY85" s="209"/>
      <c r="BZ85" s="210"/>
      <c r="CA85" s="208" t="str">
        <f t="shared" si="14"/>
        <v>0</v>
      </c>
      <c r="CB85" s="209"/>
      <c r="CC85" s="209"/>
      <c r="CD85" s="209"/>
      <c r="CE85" s="209"/>
      <c r="CF85" s="210"/>
      <c r="CG85" s="208" t="str">
        <f t="shared" si="15"/>
        <v>0</v>
      </c>
      <c r="CH85" s="209"/>
      <c r="CI85" s="209"/>
      <c r="CJ85" s="209"/>
      <c r="CK85" s="209"/>
      <c r="CL85" s="210"/>
      <c r="CM85" s="208" t="str">
        <f t="shared" si="16"/>
        <v>0</v>
      </c>
      <c r="CN85" s="209"/>
      <c r="CO85" s="209"/>
      <c r="CP85" s="209"/>
      <c r="CQ85" s="209"/>
      <c r="CR85" s="210"/>
      <c r="CS85" s="208" t="str">
        <f t="shared" si="17"/>
        <v>0</v>
      </c>
      <c r="CT85" s="209"/>
      <c r="CU85" s="209"/>
      <c r="CV85" s="209"/>
      <c r="CW85" s="209"/>
      <c r="CX85" s="210"/>
      <c r="CY85" s="70"/>
    </row>
    <row r="86" spans="2:110" s="46" customFormat="1" ht="23.25" hidden="1" customHeight="1" x14ac:dyDescent="0.25">
      <c r="B86" s="78"/>
      <c r="C86" s="78"/>
      <c r="D86" s="43">
        <f t="shared" si="2"/>
        <v>0</v>
      </c>
      <c r="E86" s="44"/>
      <c r="F86" s="216"/>
      <c r="G86" s="231"/>
      <c r="H86" s="231"/>
      <c r="I86" s="231"/>
      <c r="J86" s="231"/>
      <c r="K86" s="231"/>
      <c r="L86" s="217"/>
      <c r="M86" s="208" t="str">
        <f t="shared" si="3"/>
        <v>0</v>
      </c>
      <c r="N86" s="209"/>
      <c r="O86" s="209"/>
      <c r="P86" s="209"/>
      <c r="Q86" s="209"/>
      <c r="R86" s="210"/>
      <c r="S86" s="208" t="str">
        <f t="shared" si="4"/>
        <v>0</v>
      </c>
      <c r="T86" s="209"/>
      <c r="U86" s="209"/>
      <c r="V86" s="209"/>
      <c r="W86" s="209"/>
      <c r="X86" s="210"/>
      <c r="Y86" s="208" t="str">
        <f t="shared" si="5"/>
        <v>0</v>
      </c>
      <c r="Z86" s="209"/>
      <c r="AA86" s="209"/>
      <c r="AB86" s="209"/>
      <c r="AC86" s="209"/>
      <c r="AD86" s="210"/>
      <c r="AE86" s="208" t="str">
        <f t="shared" si="6"/>
        <v>0</v>
      </c>
      <c r="AF86" s="209"/>
      <c r="AG86" s="209"/>
      <c r="AH86" s="209"/>
      <c r="AI86" s="209"/>
      <c r="AJ86" s="210"/>
      <c r="AK86" s="208" t="str">
        <f t="shared" si="7"/>
        <v>0</v>
      </c>
      <c r="AL86" s="209"/>
      <c r="AM86" s="209"/>
      <c r="AN86" s="209"/>
      <c r="AO86" s="209"/>
      <c r="AP86" s="210"/>
      <c r="AQ86" s="208" t="str">
        <f t="shared" si="8"/>
        <v>0</v>
      </c>
      <c r="AR86" s="209"/>
      <c r="AS86" s="209"/>
      <c r="AT86" s="209"/>
      <c r="AU86" s="209"/>
      <c r="AV86" s="210"/>
      <c r="AW86" s="208" t="str">
        <f t="shared" si="9"/>
        <v>0</v>
      </c>
      <c r="AX86" s="209"/>
      <c r="AY86" s="209"/>
      <c r="AZ86" s="209"/>
      <c r="BA86" s="209"/>
      <c r="BB86" s="210"/>
      <c r="BC86" s="208" t="str">
        <f t="shared" si="10"/>
        <v>0</v>
      </c>
      <c r="BD86" s="209"/>
      <c r="BE86" s="209"/>
      <c r="BF86" s="209"/>
      <c r="BG86" s="209"/>
      <c r="BH86" s="210"/>
      <c r="BI86" s="208" t="str">
        <f t="shared" si="11"/>
        <v>0</v>
      </c>
      <c r="BJ86" s="209"/>
      <c r="BK86" s="209"/>
      <c r="BL86" s="209"/>
      <c r="BM86" s="209"/>
      <c r="BN86" s="210"/>
      <c r="BO86" s="208" t="str">
        <f t="shared" si="12"/>
        <v>0</v>
      </c>
      <c r="BP86" s="209"/>
      <c r="BQ86" s="209"/>
      <c r="BR86" s="209"/>
      <c r="BS86" s="209"/>
      <c r="BT86" s="210"/>
      <c r="BU86" s="208" t="str">
        <f t="shared" si="13"/>
        <v>0</v>
      </c>
      <c r="BV86" s="209"/>
      <c r="BW86" s="209"/>
      <c r="BX86" s="209"/>
      <c r="BY86" s="209"/>
      <c r="BZ86" s="210"/>
      <c r="CA86" s="208" t="str">
        <f t="shared" si="14"/>
        <v>0</v>
      </c>
      <c r="CB86" s="209"/>
      <c r="CC86" s="209"/>
      <c r="CD86" s="209"/>
      <c r="CE86" s="209"/>
      <c r="CF86" s="210"/>
      <c r="CG86" s="208" t="str">
        <f t="shared" si="15"/>
        <v>0</v>
      </c>
      <c r="CH86" s="209"/>
      <c r="CI86" s="209"/>
      <c r="CJ86" s="209"/>
      <c r="CK86" s="209"/>
      <c r="CL86" s="210"/>
      <c r="CM86" s="208" t="str">
        <f t="shared" si="16"/>
        <v>0</v>
      </c>
      <c r="CN86" s="209"/>
      <c r="CO86" s="209"/>
      <c r="CP86" s="209"/>
      <c r="CQ86" s="209"/>
      <c r="CR86" s="210"/>
      <c r="CS86" s="208" t="str">
        <f t="shared" si="17"/>
        <v>0</v>
      </c>
      <c r="CT86" s="209"/>
      <c r="CU86" s="209"/>
      <c r="CV86" s="209"/>
      <c r="CW86" s="209"/>
      <c r="CX86" s="210"/>
      <c r="CY86" s="70"/>
    </row>
    <row r="87" spans="2:110" s="46" customFormat="1" ht="23.25" hidden="1" customHeight="1" x14ac:dyDescent="0.25">
      <c r="B87" s="78"/>
      <c r="C87" s="78"/>
      <c r="D87" s="43">
        <f t="shared" si="2"/>
        <v>0</v>
      </c>
      <c r="E87" s="44"/>
      <c r="F87" s="216"/>
      <c r="G87" s="231"/>
      <c r="H87" s="231"/>
      <c r="I87" s="231"/>
      <c r="J87" s="231"/>
      <c r="K87" s="231"/>
      <c r="L87" s="217"/>
      <c r="M87" s="208" t="str">
        <f t="shared" si="3"/>
        <v>0</v>
      </c>
      <c r="N87" s="209"/>
      <c r="O87" s="209"/>
      <c r="P87" s="209"/>
      <c r="Q87" s="209"/>
      <c r="R87" s="210"/>
      <c r="S87" s="208" t="str">
        <f t="shared" si="4"/>
        <v>0</v>
      </c>
      <c r="T87" s="209"/>
      <c r="U87" s="209"/>
      <c r="V87" s="209"/>
      <c r="W87" s="209"/>
      <c r="X87" s="210"/>
      <c r="Y87" s="208" t="str">
        <f t="shared" si="5"/>
        <v>0</v>
      </c>
      <c r="Z87" s="209"/>
      <c r="AA87" s="209"/>
      <c r="AB87" s="209"/>
      <c r="AC87" s="209"/>
      <c r="AD87" s="210"/>
      <c r="AE87" s="208" t="str">
        <f t="shared" si="6"/>
        <v>0</v>
      </c>
      <c r="AF87" s="209"/>
      <c r="AG87" s="209"/>
      <c r="AH87" s="209"/>
      <c r="AI87" s="209"/>
      <c r="AJ87" s="210"/>
      <c r="AK87" s="208" t="str">
        <f t="shared" si="7"/>
        <v>0</v>
      </c>
      <c r="AL87" s="209"/>
      <c r="AM87" s="209"/>
      <c r="AN87" s="209"/>
      <c r="AO87" s="209"/>
      <c r="AP87" s="210"/>
      <c r="AQ87" s="208" t="str">
        <f t="shared" si="8"/>
        <v>0</v>
      </c>
      <c r="AR87" s="209"/>
      <c r="AS87" s="209"/>
      <c r="AT87" s="209"/>
      <c r="AU87" s="209"/>
      <c r="AV87" s="210"/>
      <c r="AW87" s="208" t="str">
        <f t="shared" si="9"/>
        <v>0</v>
      </c>
      <c r="AX87" s="209"/>
      <c r="AY87" s="209"/>
      <c r="AZ87" s="209"/>
      <c r="BA87" s="209"/>
      <c r="BB87" s="210"/>
      <c r="BC87" s="208" t="str">
        <f t="shared" si="10"/>
        <v>0</v>
      </c>
      <c r="BD87" s="209"/>
      <c r="BE87" s="209"/>
      <c r="BF87" s="209"/>
      <c r="BG87" s="209"/>
      <c r="BH87" s="210"/>
      <c r="BI87" s="208" t="str">
        <f t="shared" si="11"/>
        <v>0</v>
      </c>
      <c r="BJ87" s="209"/>
      <c r="BK87" s="209"/>
      <c r="BL87" s="209"/>
      <c r="BM87" s="209"/>
      <c r="BN87" s="210"/>
      <c r="BO87" s="208" t="str">
        <f t="shared" si="12"/>
        <v>0</v>
      </c>
      <c r="BP87" s="209"/>
      <c r="BQ87" s="209"/>
      <c r="BR87" s="209"/>
      <c r="BS87" s="209"/>
      <c r="BT87" s="210"/>
      <c r="BU87" s="208" t="str">
        <f t="shared" si="13"/>
        <v>0</v>
      </c>
      <c r="BV87" s="209"/>
      <c r="BW87" s="209"/>
      <c r="BX87" s="209"/>
      <c r="BY87" s="209"/>
      <c r="BZ87" s="210"/>
      <c r="CA87" s="208" t="str">
        <f t="shared" si="14"/>
        <v>0</v>
      </c>
      <c r="CB87" s="209"/>
      <c r="CC87" s="209"/>
      <c r="CD87" s="209"/>
      <c r="CE87" s="209"/>
      <c r="CF87" s="210"/>
      <c r="CG87" s="208" t="str">
        <f t="shared" si="15"/>
        <v>0</v>
      </c>
      <c r="CH87" s="209"/>
      <c r="CI87" s="209"/>
      <c r="CJ87" s="209"/>
      <c r="CK87" s="209"/>
      <c r="CL87" s="210"/>
      <c r="CM87" s="208" t="str">
        <f t="shared" si="16"/>
        <v>0</v>
      </c>
      <c r="CN87" s="209"/>
      <c r="CO87" s="209"/>
      <c r="CP87" s="209"/>
      <c r="CQ87" s="209"/>
      <c r="CR87" s="210"/>
      <c r="CS87" s="208" t="str">
        <f t="shared" si="17"/>
        <v>0</v>
      </c>
      <c r="CT87" s="209"/>
      <c r="CU87" s="209"/>
      <c r="CV87" s="209"/>
      <c r="CW87" s="209"/>
      <c r="CX87" s="210"/>
      <c r="CY87" s="70"/>
    </row>
    <row r="88" spans="2:110" s="46" customFormat="1" ht="23.25" hidden="1" customHeight="1" x14ac:dyDescent="0.25">
      <c r="B88" s="78"/>
      <c r="C88" s="78"/>
      <c r="D88" s="43">
        <f t="shared" si="2"/>
        <v>0</v>
      </c>
      <c r="E88" s="44"/>
      <c r="F88" s="216"/>
      <c r="G88" s="231"/>
      <c r="H88" s="231"/>
      <c r="I88" s="231"/>
      <c r="J88" s="231"/>
      <c r="K88" s="231"/>
      <c r="L88" s="217"/>
      <c r="M88" s="208" t="str">
        <f t="shared" si="3"/>
        <v>0</v>
      </c>
      <c r="N88" s="223"/>
      <c r="O88" s="223"/>
      <c r="P88" s="223"/>
      <c r="Q88" s="223"/>
      <c r="R88" s="224"/>
      <c r="S88" s="208" t="str">
        <f t="shared" si="4"/>
        <v>0</v>
      </c>
      <c r="T88" s="223"/>
      <c r="U88" s="223"/>
      <c r="V88" s="223"/>
      <c r="W88" s="223"/>
      <c r="X88" s="224"/>
      <c r="Y88" s="208" t="str">
        <f t="shared" si="5"/>
        <v>0</v>
      </c>
      <c r="Z88" s="223"/>
      <c r="AA88" s="223"/>
      <c r="AB88" s="223"/>
      <c r="AC88" s="223"/>
      <c r="AD88" s="224"/>
      <c r="AE88" s="208" t="str">
        <f t="shared" si="6"/>
        <v>0</v>
      </c>
      <c r="AF88" s="223"/>
      <c r="AG88" s="223"/>
      <c r="AH88" s="223"/>
      <c r="AI88" s="223"/>
      <c r="AJ88" s="224"/>
      <c r="AK88" s="208" t="str">
        <f t="shared" si="7"/>
        <v>0</v>
      </c>
      <c r="AL88" s="223"/>
      <c r="AM88" s="223"/>
      <c r="AN88" s="223"/>
      <c r="AO88" s="223"/>
      <c r="AP88" s="224"/>
      <c r="AQ88" s="208" t="str">
        <f t="shared" si="8"/>
        <v>0</v>
      </c>
      <c r="AR88" s="223"/>
      <c r="AS88" s="223"/>
      <c r="AT88" s="223"/>
      <c r="AU88" s="223"/>
      <c r="AV88" s="224"/>
      <c r="AW88" s="208" t="str">
        <f t="shared" si="9"/>
        <v>0</v>
      </c>
      <c r="AX88" s="223"/>
      <c r="AY88" s="223"/>
      <c r="AZ88" s="223"/>
      <c r="BA88" s="223"/>
      <c r="BB88" s="224"/>
      <c r="BC88" s="208" t="str">
        <f t="shared" si="10"/>
        <v>0</v>
      </c>
      <c r="BD88" s="223"/>
      <c r="BE88" s="223"/>
      <c r="BF88" s="223"/>
      <c r="BG88" s="223"/>
      <c r="BH88" s="224"/>
      <c r="BI88" s="208" t="str">
        <f t="shared" si="11"/>
        <v>0</v>
      </c>
      <c r="BJ88" s="223"/>
      <c r="BK88" s="223"/>
      <c r="BL88" s="223"/>
      <c r="BM88" s="223"/>
      <c r="BN88" s="224"/>
      <c r="BO88" s="208" t="str">
        <f t="shared" si="12"/>
        <v>0</v>
      </c>
      <c r="BP88" s="223"/>
      <c r="BQ88" s="223"/>
      <c r="BR88" s="223"/>
      <c r="BS88" s="223"/>
      <c r="BT88" s="224"/>
      <c r="BU88" s="208" t="str">
        <f t="shared" si="13"/>
        <v>0</v>
      </c>
      <c r="BV88" s="223"/>
      <c r="BW88" s="223"/>
      <c r="BX88" s="223"/>
      <c r="BY88" s="223"/>
      <c r="BZ88" s="224"/>
      <c r="CA88" s="208" t="str">
        <f t="shared" si="14"/>
        <v>0</v>
      </c>
      <c r="CB88" s="223"/>
      <c r="CC88" s="223"/>
      <c r="CD88" s="223"/>
      <c r="CE88" s="223"/>
      <c r="CF88" s="224"/>
      <c r="CG88" s="208" t="str">
        <f t="shared" si="15"/>
        <v>0</v>
      </c>
      <c r="CH88" s="223"/>
      <c r="CI88" s="223"/>
      <c r="CJ88" s="223"/>
      <c r="CK88" s="223"/>
      <c r="CL88" s="224"/>
      <c r="CM88" s="208" t="str">
        <f t="shared" si="16"/>
        <v>0</v>
      </c>
      <c r="CN88" s="223"/>
      <c r="CO88" s="223"/>
      <c r="CP88" s="223"/>
      <c r="CQ88" s="223"/>
      <c r="CR88" s="224"/>
      <c r="CS88" s="208" t="str">
        <f t="shared" si="17"/>
        <v>0</v>
      </c>
      <c r="CT88" s="223"/>
      <c r="CU88" s="223"/>
      <c r="CV88" s="223"/>
      <c r="CW88" s="223"/>
      <c r="CX88" s="224"/>
      <c r="CY88" s="70"/>
    </row>
    <row r="89" spans="2:110" s="46" customFormat="1" ht="23.25" hidden="1" customHeight="1" x14ac:dyDescent="0.25">
      <c r="B89" s="78"/>
      <c r="C89" s="78"/>
      <c r="D89" s="43">
        <f t="shared" si="2"/>
        <v>0</v>
      </c>
      <c r="E89" s="44"/>
      <c r="F89" s="216"/>
      <c r="G89" s="231"/>
      <c r="H89" s="231"/>
      <c r="I89" s="231"/>
      <c r="J89" s="231"/>
      <c r="K89" s="231"/>
      <c r="L89" s="217"/>
      <c r="M89" s="208" t="str">
        <f t="shared" si="3"/>
        <v>0</v>
      </c>
      <c r="N89" s="223"/>
      <c r="O89" s="223"/>
      <c r="P89" s="223"/>
      <c r="Q89" s="223"/>
      <c r="R89" s="224"/>
      <c r="S89" s="208" t="str">
        <f t="shared" si="4"/>
        <v>0</v>
      </c>
      <c r="T89" s="223"/>
      <c r="U89" s="223"/>
      <c r="V89" s="223"/>
      <c r="W89" s="223"/>
      <c r="X89" s="224"/>
      <c r="Y89" s="208" t="str">
        <f t="shared" si="5"/>
        <v>0</v>
      </c>
      <c r="Z89" s="223"/>
      <c r="AA89" s="223"/>
      <c r="AB89" s="223"/>
      <c r="AC89" s="223"/>
      <c r="AD89" s="224"/>
      <c r="AE89" s="208" t="str">
        <f t="shared" si="6"/>
        <v>0</v>
      </c>
      <c r="AF89" s="223"/>
      <c r="AG89" s="223"/>
      <c r="AH89" s="223"/>
      <c r="AI89" s="223"/>
      <c r="AJ89" s="224"/>
      <c r="AK89" s="208" t="str">
        <f t="shared" si="7"/>
        <v>0</v>
      </c>
      <c r="AL89" s="223"/>
      <c r="AM89" s="223"/>
      <c r="AN89" s="223"/>
      <c r="AO89" s="223"/>
      <c r="AP89" s="224"/>
      <c r="AQ89" s="208" t="str">
        <f t="shared" si="8"/>
        <v>0</v>
      </c>
      <c r="AR89" s="223"/>
      <c r="AS89" s="223"/>
      <c r="AT89" s="223"/>
      <c r="AU89" s="223"/>
      <c r="AV89" s="224"/>
      <c r="AW89" s="208" t="str">
        <f t="shared" si="9"/>
        <v>0</v>
      </c>
      <c r="AX89" s="223"/>
      <c r="AY89" s="223"/>
      <c r="AZ89" s="223"/>
      <c r="BA89" s="223"/>
      <c r="BB89" s="224"/>
      <c r="BC89" s="208" t="str">
        <f t="shared" si="10"/>
        <v>0</v>
      </c>
      <c r="BD89" s="223"/>
      <c r="BE89" s="223"/>
      <c r="BF89" s="223"/>
      <c r="BG89" s="223"/>
      <c r="BH89" s="224"/>
      <c r="BI89" s="208" t="str">
        <f t="shared" si="11"/>
        <v>0</v>
      </c>
      <c r="BJ89" s="223"/>
      <c r="BK89" s="223"/>
      <c r="BL89" s="223"/>
      <c r="BM89" s="223"/>
      <c r="BN89" s="224"/>
      <c r="BO89" s="208" t="str">
        <f t="shared" si="12"/>
        <v>0</v>
      </c>
      <c r="BP89" s="223"/>
      <c r="BQ89" s="223"/>
      <c r="BR89" s="223"/>
      <c r="BS89" s="223"/>
      <c r="BT89" s="224"/>
      <c r="BU89" s="208" t="str">
        <f t="shared" si="13"/>
        <v>0</v>
      </c>
      <c r="BV89" s="223"/>
      <c r="BW89" s="223"/>
      <c r="BX89" s="223"/>
      <c r="BY89" s="223"/>
      <c r="BZ89" s="224"/>
      <c r="CA89" s="208" t="str">
        <f t="shared" si="14"/>
        <v>0</v>
      </c>
      <c r="CB89" s="223"/>
      <c r="CC89" s="223"/>
      <c r="CD89" s="223"/>
      <c r="CE89" s="223"/>
      <c r="CF89" s="224"/>
      <c r="CG89" s="208" t="str">
        <f t="shared" si="15"/>
        <v>0</v>
      </c>
      <c r="CH89" s="223"/>
      <c r="CI89" s="223"/>
      <c r="CJ89" s="223"/>
      <c r="CK89" s="223"/>
      <c r="CL89" s="224"/>
      <c r="CM89" s="208" t="str">
        <f t="shared" si="16"/>
        <v>0</v>
      </c>
      <c r="CN89" s="223"/>
      <c r="CO89" s="223"/>
      <c r="CP89" s="223"/>
      <c r="CQ89" s="223"/>
      <c r="CR89" s="224"/>
      <c r="CS89" s="208" t="str">
        <f t="shared" si="17"/>
        <v>0</v>
      </c>
      <c r="CT89" s="223"/>
      <c r="CU89" s="223"/>
      <c r="CV89" s="223"/>
      <c r="CW89" s="223"/>
      <c r="CX89" s="224"/>
      <c r="CY89" s="70"/>
    </row>
    <row r="90" spans="2:110" s="46" customFormat="1" ht="23.25" hidden="1" customHeight="1" x14ac:dyDescent="0.25">
      <c r="B90" s="78"/>
      <c r="C90" s="78"/>
      <c r="D90" s="43">
        <f t="shared" si="2"/>
        <v>0</v>
      </c>
      <c r="E90" s="44"/>
      <c r="F90" s="216"/>
      <c r="G90" s="231"/>
      <c r="H90" s="231"/>
      <c r="I90" s="231"/>
      <c r="J90" s="231"/>
      <c r="K90" s="231"/>
      <c r="L90" s="217"/>
      <c r="M90" s="208" t="str">
        <f t="shared" si="3"/>
        <v>0</v>
      </c>
      <c r="N90" s="223"/>
      <c r="O90" s="223"/>
      <c r="P90" s="223"/>
      <c r="Q90" s="223"/>
      <c r="R90" s="224"/>
      <c r="S90" s="208" t="str">
        <f t="shared" si="4"/>
        <v>0</v>
      </c>
      <c r="T90" s="223"/>
      <c r="U90" s="223"/>
      <c r="V90" s="223"/>
      <c r="W90" s="223"/>
      <c r="X90" s="224"/>
      <c r="Y90" s="208" t="str">
        <f t="shared" si="5"/>
        <v>0</v>
      </c>
      <c r="Z90" s="223"/>
      <c r="AA90" s="223"/>
      <c r="AB90" s="223"/>
      <c r="AC90" s="223"/>
      <c r="AD90" s="224"/>
      <c r="AE90" s="208" t="str">
        <f t="shared" si="6"/>
        <v>0</v>
      </c>
      <c r="AF90" s="223"/>
      <c r="AG90" s="223"/>
      <c r="AH90" s="223"/>
      <c r="AI90" s="223"/>
      <c r="AJ90" s="224"/>
      <c r="AK90" s="208" t="str">
        <f t="shared" si="7"/>
        <v>0</v>
      </c>
      <c r="AL90" s="223"/>
      <c r="AM90" s="223"/>
      <c r="AN90" s="223"/>
      <c r="AO90" s="223"/>
      <c r="AP90" s="224"/>
      <c r="AQ90" s="208" t="str">
        <f t="shared" si="8"/>
        <v>0</v>
      </c>
      <c r="AR90" s="223"/>
      <c r="AS90" s="223"/>
      <c r="AT90" s="223"/>
      <c r="AU90" s="223"/>
      <c r="AV90" s="224"/>
      <c r="AW90" s="208" t="str">
        <f t="shared" si="9"/>
        <v>0</v>
      </c>
      <c r="AX90" s="223"/>
      <c r="AY90" s="223"/>
      <c r="AZ90" s="223"/>
      <c r="BA90" s="223"/>
      <c r="BB90" s="224"/>
      <c r="BC90" s="208" t="str">
        <f t="shared" si="10"/>
        <v>0</v>
      </c>
      <c r="BD90" s="223"/>
      <c r="BE90" s="223"/>
      <c r="BF90" s="223"/>
      <c r="BG90" s="223"/>
      <c r="BH90" s="224"/>
      <c r="BI90" s="208" t="str">
        <f t="shared" si="11"/>
        <v>0</v>
      </c>
      <c r="BJ90" s="223"/>
      <c r="BK90" s="223"/>
      <c r="BL90" s="223"/>
      <c r="BM90" s="223"/>
      <c r="BN90" s="224"/>
      <c r="BO90" s="208" t="str">
        <f t="shared" si="12"/>
        <v>0</v>
      </c>
      <c r="BP90" s="223"/>
      <c r="BQ90" s="223"/>
      <c r="BR90" s="223"/>
      <c r="BS90" s="223"/>
      <c r="BT90" s="224"/>
      <c r="BU90" s="208" t="str">
        <f t="shared" si="13"/>
        <v>0</v>
      </c>
      <c r="BV90" s="223"/>
      <c r="BW90" s="223"/>
      <c r="BX90" s="223"/>
      <c r="BY90" s="223"/>
      <c r="BZ90" s="224"/>
      <c r="CA90" s="208" t="str">
        <f t="shared" si="14"/>
        <v>0</v>
      </c>
      <c r="CB90" s="223"/>
      <c r="CC90" s="223"/>
      <c r="CD90" s="223"/>
      <c r="CE90" s="223"/>
      <c r="CF90" s="224"/>
      <c r="CG90" s="208" t="str">
        <f t="shared" si="15"/>
        <v>0</v>
      </c>
      <c r="CH90" s="223"/>
      <c r="CI90" s="223"/>
      <c r="CJ90" s="223"/>
      <c r="CK90" s="223"/>
      <c r="CL90" s="224"/>
      <c r="CM90" s="208" t="str">
        <f t="shared" si="16"/>
        <v>0</v>
      </c>
      <c r="CN90" s="223"/>
      <c r="CO90" s="223"/>
      <c r="CP90" s="223"/>
      <c r="CQ90" s="223"/>
      <c r="CR90" s="224"/>
      <c r="CS90" s="208" t="str">
        <f t="shared" si="17"/>
        <v>0</v>
      </c>
      <c r="CT90" s="223"/>
      <c r="CU90" s="223"/>
      <c r="CV90" s="223"/>
      <c r="CW90" s="223"/>
      <c r="CX90" s="224"/>
      <c r="CY90" s="70"/>
    </row>
    <row r="91" spans="2:110" s="46" customFormat="1" ht="23.25" hidden="1" customHeight="1" x14ac:dyDescent="0.25">
      <c r="B91" s="78"/>
      <c r="C91" s="78"/>
      <c r="D91" s="43">
        <f t="shared" si="2"/>
        <v>0</v>
      </c>
      <c r="E91" s="44"/>
      <c r="F91" s="216"/>
      <c r="G91" s="231"/>
      <c r="H91" s="231"/>
      <c r="I91" s="231"/>
      <c r="J91" s="231"/>
      <c r="K91" s="231"/>
      <c r="L91" s="217"/>
      <c r="M91" s="208" t="str">
        <f t="shared" si="3"/>
        <v>0</v>
      </c>
      <c r="N91" s="223"/>
      <c r="O91" s="223"/>
      <c r="P91" s="223"/>
      <c r="Q91" s="223"/>
      <c r="R91" s="224"/>
      <c r="S91" s="208" t="str">
        <f t="shared" si="4"/>
        <v>0</v>
      </c>
      <c r="T91" s="223"/>
      <c r="U91" s="223"/>
      <c r="V91" s="223"/>
      <c r="W91" s="223"/>
      <c r="X91" s="224"/>
      <c r="Y91" s="208" t="str">
        <f t="shared" si="5"/>
        <v>0</v>
      </c>
      <c r="Z91" s="223"/>
      <c r="AA91" s="223"/>
      <c r="AB91" s="223"/>
      <c r="AC91" s="223"/>
      <c r="AD91" s="224"/>
      <c r="AE91" s="208" t="str">
        <f t="shared" si="6"/>
        <v>0</v>
      </c>
      <c r="AF91" s="223"/>
      <c r="AG91" s="223"/>
      <c r="AH91" s="223"/>
      <c r="AI91" s="223"/>
      <c r="AJ91" s="224"/>
      <c r="AK91" s="208" t="str">
        <f t="shared" si="7"/>
        <v>0</v>
      </c>
      <c r="AL91" s="223"/>
      <c r="AM91" s="223"/>
      <c r="AN91" s="223"/>
      <c r="AO91" s="223"/>
      <c r="AP91" s="224"/>
      <c r="AQ91" s="208" t="str">
        <f t="shared" si="8"/>
        <v>0</v>
      </c>
      <c r="AR91" s="223"/>
      <c r="AS91" s="223"/>
      <c r="AT91" s="223"/>
      <c r="AU91" s="223"/>
      <c r="AV91" s="224"/>
      <c r="AW91" s="208" t="str">
        <f t="shared" si="9"/>
        <v>0</v>
      </c>
      <c r="AX91" s="223"/>
      <c r="AY91" s="223"/>
      <c r="AZ91" s="223"/>
      <c r="BA91" s="223"/>
      <c r="BB91" s="224"/>
      <c r="BC91" s="208" t="str">
        <f t="shared" si="10"/>
        <v>0</v>
      </c>
      <c r="BD91" s="223"/>
      <c r="BE91" s="223"/>
      <c r="BF91" s="223"/>
      <c r="BG91" s="223"/>
      <c r="BH91" s="224"/>
      <c r="BI91" s="208" t="str">
        <f t="shared" si="11"/>
        <v>0</v>
      </c>
      <c r="BJ91" s="223"/>
      <c r="BK91" s="223"/>
      <c r="BL91" s="223"/>
      <c r="BM91" s="223"/>
      <c r="BN91" s="224"/>
      <c r="BO91" s="208" t="str">
        <f t="shared" si="12"/>
        <v>0</v>
      </c>
      <c r="BP91" s="223"/>
      <c r="BQ91" s="223"/>
      <c r="BR91" s="223"/>
      <c r="BS91" s="223"/>
      <c r="BT91" s="224"/>
      <c r="BU91" s="208" t="str">
        <f t="shared" si="13"/>
        <v>0</v>
      </c>
      <c r="BV91" s="223"/>
      <c r="BW91" s="223"/>
      <c r="BX91" s="223"/>
      <c r="BY91" s="223"/>
      <c r="BZ91" s="224"/>
      <c r="CA91" s="208" t="str">
        <f t="shared" si="14"/>
        <v>0</v>
      </c>
      <c r="CB91" s="223"/>
      <c r="CC91" s="223"/>
      <c r="CD91" s="223"/>
      <c r="CE91" s="223"/>
      <c r="CF91" s="224"/>
      <c r="CG91" s="208" t="str">
        <f t="shared" si="15"/>
        <v>0</v>
      </c>
      <c r="CH91" s="223"/>
      <c r="CI91" s="223"/>
      <c r="CJ91" s="223"/>
      <c r="CK91" s="223"/>
      <c r="CL91" s="224"/>
      <c r="CM91" s="208" t="str">
        <f t="shared" si="16"/>
        <v>0</v>
      </c>
      <c r="CN91" s="223"/>
      <c r="CO91" s="223"/>
      <c r="CP91" s="223"/>
      <c r="CQ91" s="223"/>
      <c r="CR91" s="224"/>
      <c r="CS91" s="208" t="str">
        <f t="shared" si="17"/>
        <v>0</v>
      </c>
      <c r="CT91" s="223"/>
      <c r="CU91" s="223"/>
      <c r="CV91" s="223"/>
      <c r="CW91" s="223"/>
      <c r="CX91" s="224"/>
      <c r="CY91" s="70"/>
    </row>
    <row r="92" spans="2:110" s="46" customFormat="1" ht="23.25" hidden="1" customHeight="1" x14ac:dyDescent="0.2">
      <c r="B92" s="78"/>
      <c r="C92" s="78"/>
      <c r="D92" s="43">
        <f t="shared" si="2"/>
        <v>0</v>
      </c>
      <c r="E92" s="44"/>
      <c r="F92" s="216"/>
      <c r="G92" s="231"/>
      <c r="H92" s="231"/>
      <c r="I92" s="231"/>
      <c r="J92" s="231"/>
      <c r="K92" s="231"/>
      <c r="L92" s="217"/>
      <c r="M92" s="208" t="str">
        <f t="shared" si="3"/>
        <v>0</v>
      </c>
      <c r="N92" s="223"/>
      <c r="O92" s="223"/>
      <c r="P92" s="223"/>
      <c r="Q92" s="223"/>
      <c r="R92" s="224"/>
      <c r="S92" s="208" t="str">
        <f t="shared" si="4"/>
        <v>0</v>
      </c>
      <c r="T92" s="223"/>
      <c r="U92" s="223"/>
      <c r="V92" s="223"/>
      <c r="W92" s="223"/>
      <c r="X92" s="224"/>
      <c r="Y92" s="208" t="str">
        <f t="shared" si="5"/>
        <v>0</v>
      </c>
      <c r="Z92" s="223"/>
      <c r="AA92" s="223"/>
      <c r="AB92" s="223"/>
      <c r="AC92" s="223"/>
      <c r="AD92" s="224"/>
      <c r="AE92" s="208" t="str">
        <f t="shared" si="6"/>
        <v>0</v>
      </c>
      <c r="AF92" s="223"/>
      <c r="AG92" s="223"/>
      <c r="AH92" s="223"/>
      <c r="AI92" s="223"/>
      <c r="AJ92" s="224"/>
      <c r="AK92" s="208" t="str">
        <f t="shared" si="7"/>
        <v>0</v>
      </c>
      <c r="AL92" s="223"/>
      <c r="AM92" s="223"/>
      <c r="AN92" s="223"/>
      <c r="AO92" s="223"/>
      <c r="AP92" s="224"/>
      <c r="AQ92" s="208" t="str">
        <f t="shared" si="8"/>
        <v>0</v>
      </c>
      <c r="AR92" s="223"/>
      <c r="AS92" s="223"/>
      <c r="AT92" s="223"/>
      <c r="AU92" s="223"/>
      <c r="AV92" s="224"/>
      <c r="AW92" s="208" t="str">
        <f t="shared" si="9"/>
        <v>0</v>
      </c>
      <c r="AX92" s="223"/>
      <c r="AY92" s="223"/>
      <c r="AZ92" s="223"/>
      <c r="BA92" s="223"/>
      <c r="BB92" s="224"/>
      <c r="BC92" s="208" t="str">
        <f t="shared" si="10"/>
        <v>0</v>
      </c>
      <c r="BD92" s="223"/>
      <c r="BE92" s="223"/>
      <c r="BF92" s="223"/>
      <c r="BG92" s="223"/>
      <c r="BH92" s="224"/>
      <c r="BI92" s="208" t="str">
        <f t="shared" si="11"/>
        <v>0</v>
      </c>
      <c r="BJ92" s="223"/>
      <c r="BK92" s="223"/>
      <c r="BL92" s="223"/>
      <c r="BM92" s="223"/>
      <c r="BN92" s="224"/>
      <c r="BO92" s="208" t="str">
        <f t="shared" si="12"/>
        <v>0</v>
      </c>
      <c r="BP92" s="223"/>
      <c r="BQ92" s="223"/>
      <c r="BR92" s="223"/>
      <c r="BS92" s="223"/>
      <c r="BT92" s="224"/>
      <c r="BU92" s="208" t="str">
        <f t="shared" si="13"/>
        <v>0</v>
      </c>
      <c r="BV92" s="223"/>
      <c r="BW92" s="223"/>
      <c r="BX92" s="223"/>
      <c r="BY92" s="223"/>
      <c r="BZ92" s="224"/>
      <c r="CA92" s="208" t="str">
        <f t="shared" si="14"/>
        <v>0</v>
      </c>
      <c r="CB92" s="223"/>
      <c r="CC92" s="223"/>
      <c r="CD92" s="223"/>
      <c r="CE92" s="223"/>
      <c r="CF92" s="224"/>
      <c r="CG92" s="208" t="str">
        <f t="shared" si="15"/>
        <v>0</v>
      </c>
      <c r="CH92" s="223"/>
      <c r="CI92" s="223"/>
      <c r="CJ92" s="223"/>
      <c r="CK92" s="223"/>
      <c r="CL92" s="224"/>
      <c r="CM92" s="208" t="str">
        <f t="shared" si="16"/>
        <v>0</v>
      </c>
      <c r="CN92" s="223"/>
      <c r="CO92" s="223"/>
      <c r="CP92" s="223"/>
      <c r="CQ92" s="223"/>
      <c r="CR92" s="224"/>
      <c r="CS92" s="208" t="str">
        <f t="shared" si="17"/>
        <v>0</v>
      </c>
      <c r="CT92" s="223"/>
      <c r="CU92" s="223"/>
      <c r="CV92" s="223"/>
      <c r="CW92" s="223"/>
      <c r="CX92" s="224"/>
      <c r="CY92" s="3"/>
      <c r="CZ92" s="3"/>
      <c r="DA92" s="3"/>
      <c r="DB92" s="3"/>
      <c r="DC92" s="3"/>
      <c r="DD92" s="3"/>
      <c r="DE92" s="3"/>
      <c r="DF92" s="3"/>
    </row>
    <row r="93" spans="2:110" s="46" customFormat="1" ht="23.25" hidden="1" customHeight="1" x14ac:dyDescent="0.2">
      <c r="B93" s="78"/>
      <c r="C93" s="78"/>
      <c r="D93" s="43">
        <f t="shared" si="2"/>
        <v>0</v>
      </c>
      <c r="E93" s="44"/>
      <c r="F93" s="216"/>
      <c r="G93" s="231"/>
      <c r="H93" s="231"/>
      <c r="I93" s="231"/>
      <c r="J93" s="231"/>
      <c r="K93" s="231"/>
      <c r="L93" s="217"/>
      <c r="M93" s="208" t="str">
        <f t="shared" si="3"/>
        <v>0</v>
      </c>
      <c r="N93" s="223"/>
      <c r="O93" s="223"/>
      <c r="P93" s="223"/>
      <c r="Q93" s="223"/>
      <c r="R93" s="224"/>
      <c r="S93" s="208" t="str">
        <f t="shared" si="4"/>
        <v>0</v>
      </c>
      <c r="T93" s="223"/>
      <c r="U93" s="223"/>
      <c r="V93" s="223"/>
      <c r="W93" s="223"/>
      <c r="X93" s="224"/>
      <c r="Y93" s="208" t="str">
        <f t="shared" si="5"/>
        <v>0</v>
      </c>
      <c r="Z93" s="223"/>
      <c r="AA93" s="223"/>
      <c r="AB93" s="223"/>
      <c r="AC93" s="223"/>
      <c r="AD93" s="224"/>
      <c r="AE93" s="208" t="str">
        <f t="shared" si="6"/>
        <v>0</v>
      </c>
      <c r="AF93" s="223"/>
      <c r="AG93" s="223"/>
      <c r="AH93" s="223"/>
      <c r="AI93" s="223"/>
      <c r="AJ93" s="224"/>
      <c r="AK93" s="208" t="str">
        <f t="shared" si="7"/>
        <v>0</v>
      </c>
      <c r="AL93" s="223"/>
      <c r="AM93" s="223"/>
      <c r="AN93" s="223"/>
      <c r="AO93" s="223"/>
      <c r="AP93" s="224"/>
      <c r="AQ93" s="208" t="str">
        <f t="shared" si="8"/>
        <v>0</v>
      </c>
      <c r="AR93" s="223"/>
      <c r="AS93" s="223"/>
      <c r="AT93" s="223"/>
      <c r="AU93" s="223"/>
      <c r="AV93" s="224"/>
      <c r="AW93" s="208" t="str">
        <f t="shared" si="9"/>
        <v>0</v>
      </c>
      <c r="AX93" s="223"/>
      <c r="AY93" s="223"/>
      <c r="AZ93" s="223"/>
      <c r="BA93" s="223"/>
      <c r="BB93" s="224"/>
      <c r="BC93" s="208" t="str">
        <f t="shared" si="10"/>
        <v>0</v>
      </c>
      <c r="BD93" s="223"/>
      <c r="BE93" s="223"/>
      <c r="BF93" s="223"/>
      <c r="BG93" s="223"/>
      <c r="BH93" s="224"/>
      <c r="BI93" s="208" t="str">
        <f t="shared" si="11"/>
        <v>0</v>
      </c>
      <c r="BJ93" s="223"/>
      <c r="BK93" s="223"/>
      <c r="BL93" s="223"/>
      <c r="BM93" s="223"/>
      <c r="BN93" s="224"/>
      <c r="BO93" s="208" t="str">
        <f t="shared" si="12"/>
        <v>0</v>
      </c>
      <c r="BP93" s="223"/>
      <c r="BQ93" s="223"/>
      <c r="BR93" s="223"/>
      <c r="BS93" s="223"/>
      <c r="BT93" s="224"/>
      <c r="BU93" s="208" t="str">
        <f t="shared" si="13"/>
        <v>0</v>
      </c>
      <c r="BV93" s="223"/>
      <c r="BW93" s="223"/>
      <c r="BX93" s="223"/>
      <c r="BY93" s="223"/>
      <c r="BZ93" s="224"/>
      <c r="CA93" s="208" t="str">
        <f t="shared" si="14"/>
        <v>0</v>
      </c>
      <c r="CB93" s="223"/>
      <c r="CC93" s="223"/>
      <c r="CD93" s="223"/>
      <c r="CE93" s="223"/>
      <c r="CF93" s="224"/>
      <c r="CG93" s="208" t="str">
        <f t="shared" si="15"/>
        <v>0</v>
      </c>
      <c r="CH93" s="223"/>
      <c r="CI93" s="223"/>
      <c r="CJ93" s="223"/>
      <c r="CK93" s="223"/>
      <c r="CL93" s="224"/>
      <c r="CM93" s="208" t="str">
        <f t="shared" si="16"/>
        <v>0</v>
      </c>
      <c r="CN93" s="223"/>
      <c r="CO93" s="223"/>
      <c r="CP93" s="223"/>
      <c r="CQ93" s="223"/>
      <c r="CR93" s="224"/>
      <c r="CS93" s="208" t="str">
        <f t="shared" si="17"/>
        <v>0</v>
      </c>
      <c r="CT93" s="223"/>
      <c r="CU93" s="223"/>
      <c r="CV93" s="223"/>
      <c r="CW93" s="223"/>
      <c r="CX93" s="224"/>
      <c r="CY93" s="3"/>
      <c r="CZ93" s="3"/>
      <c r="DA93" s="3"/>
      <c r="DB93" s="3"/>
      <c r="DC93" s="3"/>
      <c r="DD93" s="3"/>
      <c r="DE93" s="3"/>
      <c r="DF93" s="3"/>
    </row>
    <row r="94" spans="2:110" ht="23.25" customHeight="1" x14ac:dyDescent="0.2">
      <c r="B94" s="29"/>
      <c r="C94" s="29"/>
      <c r="D94" s="40"/>
      <c r="E94" s="40"/>
      <c r="F94" s="188"/>
      <c r="G94" s="188"/>
      <c r="H94" s="188"/>
      <c r="I94" s="188"/>
      <c r="J94" s="188"/>
      <c r="K94" s="188"/>
      <c r="L94" s="188"/>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row>
    <row r="95" spans="2:110" ht="23.25" customHeight="1" x14ac:dyDescent="0.2">
      <c r="B95" s="29"/>
      <c r="C95" s="29"/>
      <c r="D95" s="40"/>
      <c r="E95" s="40"/>
      <c r="F95" s="188"/>
      <c r="G95" s="188"/>
      <c r="H95" s="188"/>
      <c r="I95" s="188"/>
      <c r="J95" s="188"/>
      <c r="K95" s="188"/>
      <c r="L95" s="188"/>
      <c r="M95" s="66"/>
      <c r="N95" s="66"/>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row>
    <row r="96" spans="2:110" ht="23.25" customHeight="1" x14ac:dyDescent="0.2">
      <c r="B96" s="29"/>
      <c r="C96" s="29"/>
      <c r="D96" s="40"/>
      <c r="E96" s="40"/>
      <c r="F96" s="188"/>
      <c r="G96" s="188"/>
      <c r="H96" s="188"/>
      <c r="I96" s="188"/>
      <c r="J96" s="188"/>
      <c r="K96" s="188"/>
      <c r="L96" s="188"/>
      <c r="M96" s="66"/>
      <c r="N96" s="66"/>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row>
    <row r="97" spans="2:102" ht="23.25" customHeight="1" x14ac:dyDescent="0.2">
      <c r="B97" s="29"/>
      <c r="C97" s="29"/>
      <c r="D97" s="40"/>
      <c r="E97" s="40"/>
      <c r="F97" s="188"/>
      <c r="G97" s="188"/>
      <c r="H97" s="188"/>
      <c r="I97" s="188"/>
      <c r="J97" s="188"/>
      <c r="K97" s="188"/>
      <c r="L97" s="188"/>
      <c r="M97" s="66"/>
      <c r="N97" s="66"/>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row>
    <row r="98" spans="2:102" ht="23.25" customHeight="1" x14ac:dyDescent="0.2">
      <c r="B98" s="29"/>
      <c r="C98" s="29"/>
      <c r="D98" s="40"/>
      <c r="E98" s="40"/>
      <c r="F98" s="188"/>
      <c r="G98" s="188"/>
      <c r="H98" s="188"/>
      <c r="I98" s="188"/>
      <c r="J98" s="188"/>
      <c r="K98" s="188"/>
      <c r="L98" s="188"/>
      <c r="M98" s="66"/>
      <c r="N98" s="66"/>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row>
    <row r="99" spans="2:102" ht="23.25" customHeight="1" x14ac:dyDescent="0.2">
      <c r="B99" s="29"/>
      <c r="C99" s="29"/>
      <c r="D99" s="40"/>
      <c r="E99" s="40"/>
      <c r="F99" s="188"/>
      <c r="G99" s="188"/>
      <c r="H99" s="188"/>
      <c r="I99" s="188"/>
      <c r="J99" s="188"/>
      <c r="K99" s="188"/>
      <c r="L99" s="188"/>
      <c r="M99" s="66"/>
      <c r="N99" s="66"/>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row>
    <row r="100" spans="2:102" ht="23.25" customHeight="1" x14ac:dyDescent="0.2">
      <c r="B100" s="29"/>
      <c r="C100" s="29"/>
      <c r="D100" s="40"/>
      <c r="E100" s="40"/>
      <c r="F100" s="188"/>
      <c r="G100" s="188"/>
      <c r="H100" s="188"/>
      <c r="I100" s="188"/>
      <c r="J100" s="188"/>
      <c r="K100" s="188"/>
      <c r="L100" s="188"/>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row>
    <row r="101" spans="2:102" ht="23.25" customHeight="1" x14ac:dyDescent="0.2">
      <c r="B101" s="29"/>
      <c r="C101" s="29"/>
      <c r="D101" s="40"/>
      <c r="E101" s="40"/>
      <c r="F101" s="188"/>
      <c r="G101" s="188"/>
      <c r="H101" s="188"/>
      <c r="I101" s="188"/>
      <c r="J101" s="188"/>
      <c r="K101" s="188"/>
      <c r="L101" s="188"/>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row>
    <row r="102" spans="2:102" ht="23.25" customHeight="1" x14ac:dyDescent="0.2">
      <c r="B102" s="29"/>
      <c r="C102" s="29"/>
      <c r="D102" s="40"/>
      <c r="E102" s="40"/>
      <c r="F102" s="188"/>
      <c r="G102" s="188"/>
      <c r="H102" s="188"/>
      <c r="I102" s="188"/>
      <c r="J102" s="188"/>
      <c r="K102" s="188"/>
      <c r="L102" s="188"/>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row>
    <row r="103" spans="2:102" ht="23.25" customHeight="1" x14ac:dyDescent="0.2">
      <c r="B103" s="29"/>
      <c r="C103" s="29"/>
      <c r="D103" s="40"/>
      <c r="E103" s="40"/>
      <c r="F103" s="188"/>
      <c r="G103" s="188"/>
      <c r="H103" s="188"/>
      <c r="I103" s="188"/>
      <c r="J103" s="188"/>
      <c r="K103" s="188"/>
      <c r="L103" s="188"/>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row>
    <row r="104" spans="2:102" ht="23.25" customHeight="1" x14ac:dyDescent="0.2">
      <c r="B104" s="29"/>
      <c r="C104" s="29"/>
      <c r="D104" s="40"/>
      <c r="E104" s="40"/>
      <c r="F104" s="188"/>
      <c r="G104" s="188"/>
      <c r="H104" s="188"/>
      <c r="I104" s="188"/>
      <c r="J104" s="188"/>
      <c r="K104" s="188"/>
      <c r="L104" s="188"/>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row>
    <row r="105" spans="2:102" ht="23.25" customHeight="1" x14ac:dyDescent="0.2">
      <c r="B105" s="29"/>
      <c r="C105" s="29"/>
      <c r="D105" s="40"/>
      <c r="E105" s="40"/>
      <c r="F105" s="188"/>
      <c r="G105" s="188"/>
      <c r="H105" s="188"/>
      <c r="I105" s="188"/>
      <c r="J105" s="188"/>
      <c r="K105" s="188"/>
      <c r="L105" s="188"/>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row>
    <row r="106" spans="2:102" ht="23.25" customHeight="1" x14ac:dyDescent="0.2">
      <c r="B106" s="29"/>
      <c r="C106" s="29"/>
      <c r="D106" s="40"/>
      <c r="E106" s="40"/>
      <c r="F106" s="188"/>
      <c r="G106" s="188"/>
      <c r="H106" s="188"/>
      <c r="I106" s="188"/>
      <c r="J106" s="188"/>
      <c r="K106" s="188"/>
      <c r="L106" s="188"/>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row>
    <row r="107" spans="2:102" ht="23.25" customHeight="1" x14ac:dyDescent="0.2">
      <c r="B107" s="29"/>
      <c r="C107" s="29"/>
      <c r="D107" s="40"/>
      <c r="E107" s="40"/>
      <c r="F107" s="188"/>
      <c r="G107" s="188"/>
      <c r="H107" s="188"/>
      <c r="I107" s="188"/>
      <c r="J107" s="188"/>
      <c r="K107" s="188"/>
      <c r="L107" s="188"/>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row>
    <row r="108" spans="2:102" ht="23.25" customHeight="1" x14ac:dyDescent="0.2">
      <c r="B108" s="29"/>
      <c r="C108" s="29"/>
      <c r="D108" s="40"/>
      <c r="E108" s="40"/>
      <c r="F108" s="188"/>
      <c r="G108" s="188"/>
      <c r="H108" s="188"/>
      <c r="I108" s="188"/>
      <c r="J108" s="188"/>
      <c r="K108" s="188"/>
      <c r="L108" s="188"/>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row>
    <row r="109" spans="2:102" ht="23.25" customHeight="1" x14ac:dyDescent="0.2">
      <c r="B109" s="29"/>
      <c r="C109" s="29"/>
      <c r="D109" s="40"/>
      <c r="E109" s="40"/>
      <c r="F109" s="188"/>
      <c r="G109" s="188"/>
      <c r="H109" s="188"/>
      <c r="I109" s="188"/>
      <c r="J109" s="188"/>
      <c r="K109" s="188"/>
      <c r="L109" s="188"/>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row>
    <row r="110" spans="2:102" ht="23.25" customHeight="1" x14ac:dyDescent="0.2">
      <c r="B110" s="29"/>
      <c r="C110" s="29"/>
      <c r="D110" s="40"/>
      <c r="E110" s="40"/>
      <c r="F110" s="188"/>
      <c r="G110" s="188"/>
      <c r="H110" s="188"/>
      <c r="I110" s="188"/>
      <c r="J110" s="188"/>
      <c r="K110" s="188"/>
      <c r="L110" s="188"/>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row>
    <row r="111" spans="2:102" ht="23.25" customHeight="1" x14ac:dyDescent="0.2">
      <c r="B111" s="29"/>
      <c r="C111" s="29"/>
      <c r="D111" s="40"/>
      <c r="E111" s="40"/>
      <c r="F111" s="188"/>
      <c r="G111" s="188"/>
      <c r="H111" s="188"/>
      <c r="I111" s="188"/>
      <c r="J111" s="188"/>
      <c r="K111" s="188"/>
      <c r="L111" s="188"/>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row>
    <row r="112" spans="2:102" ht="23.25" customHeight="1" x14ac:dyDescent="0.2">
      <c r="B112" s="29"/>
      <c r="C112" s="29"/>
      <c r="D112" s="40"/>
      <c r="E112" s="40"/>
      <c r="F112" s="188"/>
      <c r="G112" s="188"/>
      <c r="H112" s="188"/>
      <c r="I112" s="188"/>
      <c r="J112" s="188"/>
      <c r="K112" s="188"/>
      <c r="L112" s="188"/>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row>
    <row r="113" spans="2:102" ht="23.25" customHeight="1" x14ac:dyDescent="0.2">
      <c r="B113" s="29"/>
      <c r="C113" s="29"/>
      <c r="D113" s="40"/>
      <c r="E113" s="40"/>
      <c r="F113" s="188"/>
      <c r="G113" s="188"/>
      <c r="H113" s="188"/>
      <c r="I113" s="188"/>
      <c r="J113" s="188"/>
      <c r="K113" s="188"/>
      <c r="L113" s="188"/>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row>
    <row r="114" spans="2:102" ht="23.25" customHeight="1" x14ac:dyDescent="0.2">
      <c r="B114" s="29"/>
      <c r="C114" s="29"/>
      <c r="D114" s="40"/>
      <c r="E114" s="40"/>
      <c r="F114" s="188"/>
      <c r="G114" s="188"/>
      <c r="H114" s="188"/>
      <c r="I114" s="188"/>
      <c r="J114" s="188"/>
      <c r="K114" s="188"/>
      <c r="L114" s="188"/>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row>
    <row r="115" spans="2:102" ht="23.25" customHeight="1" x14ac:dyDescent="0.2">
      <c r="B115" s="29"/>
      <c r="C115" s="29"/>
      <c r="D115" s="40"/>
      <c r="E115" s="40"/>
      <c r="F115" s="188"/>
      <c r="G115" s="188"/>
      <c r="H115" s="188"/>
      <c r="I115" s="188"/>
      <c r="J115" s="188"/>
      <c r="K115" s="188"/>
      <c r="L115" s="188"/>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row>
    <row r="116" spans="2:102" ht="23.25" customHeight="1" x14ac:dyDescent="0.2">
      <c r="B116" s="29"/>
      <c r="C116" s="29"/>
      <c r="D116" s="40"/>
      <c r="E116" s="40"/>
      <c r="F116" s="188"/>
      <c r="G116" s="188"/>
      <c r="H116" s="188"/>
      <c r="I116" s="188"/>
      <c r="J116" s="188"/>
      <c r="K116" s="188"/>
      <c r="L116" s="188"/>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row>
    <row r="117" spans="2:102" ht="23.25" customHeight="1" x14ac:dyDescent="0.2">
      <c r="B117" s="29"/>
      <c r="C117" s="29"/>
      <c r="D117" s="40"/>
      <c r="E117" s="40"/>
      <c r="F117" s="188"/>
      <c r="G117" s="188"/>
      <c r="H117" s="188"/>
      <c r="I117" s="188"/>
      <c r="J117" s="188"/>
      <c r="K117" s="188"/>
      <c r="L117" s="188"/>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row>
    <row r="118" spans="2:102" ht="23.25" customHeight="1" x14ac:dyDescent="0.2">
      <c r="B118" s="29"/>
      <c r="C118" s="29"/>
      <c r="D118" s="40"/>
      <c r="E118" s="40"/>
      <c r="F118" s="188"/>
      <c r="G118" s="188"/>
      <c r="H118" s="188"/>
      <c r="I118" s="188"/>
      <c r="J118" s="188"/>
      <c r="K118" s="188"/>
      <c r="L118" s="188"/>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row>
    <row r="119" spans="2:102" ht="23.25" customHeight="1" x14ac:dyDescent="0.2">
      <c r="B119" s="29"/>
      <c r="C119" s="29"/>
      <c r="D119" s="40"/>
      <c r="E119" s="40"/>
      <c r="F119" s="188"/>
      <c r="G119" s="188"/>
      <c r="H119" s="188"/>
      <c r="I119" s="188"/>
      <c r="J119" s="188"/>
      <c r="K119" s="188"/>
      <c r="L119" s="188"/>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row>
    <row r="120" spans="2:102" ht="23.25" customHeight="1" x14ac:dyDescent="0.2">
      <c r="B120" s="29"/>
      <c r="C120" s="29"/>
      <c r="D120" s="40"/>
      <c r="E120" s="40"/>
      <c r="F120" s="188"/>
      <c r="G120" s="188"/>
      <c r="H120" s="188"/>
      <c r="I120" s="188"/>
      <c r="J120" s="188"/>
      <c r="K120" s="188"/>
      <c r="L120" s="188"/>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row>
    <row r="121" spans="2:102" ht="23.25" customHeight="1" x14ac:dyDescent="0.2">
      <c r="B121" s="29"/>
      <c r="C121" s="29"/>
      <c r="D121" s="40"/>
      <c r="E121" s="40"/>
      <c r="F121" s="188"/>
      <c r="G121" s="188"/>
      <c r="H121" s="188"/>
      <c r="I121" s="188"/>
      <c r="J121" s="188"/>
      <c r="K121" s="188"/>
      <c r="L121" s="188"/>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row>
    <row r="122" spans="2:102" ht="23.25" customHeight="1" x14ac:dyDescent="0.2">
      <c r="B122" s="29"/>
      <c r="C122" s="29"/>
      <c r="D122" s="40"/>
      <c r="E122" s="40"/>
      <c r="F122" s="188"/>
      <c r="G122" s="188"/>
      <c r="H122" s="188"/>
      <c r="I122" s="188"/>
      <c r="J122" s="188"/>
      <c r="K122" s="188"/>
      <c r="L122" s="188"/>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row>
    <row r="123" spans="2:102" ht="23.25" customHeight="1" x14ac:dyDescent="0.2">
      <c r="B123" s="29"/>
      <c r="C123" s="29"/>
      <c r="D123" s="40"/>
      <c r="E123" s="40"/>
      <c r="F123" s="188"/>
      <c r="G123" s="188"/>
      <c r="H123" s="188"/>
      <c r="I123" s="188"/>
      <c r="J123" s="188"/>
      <c r="K123" s="188"/>
      <c r="L123" s="188"/>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row>
    <row r="124" spans="2:102" ht="23.25" customHeight="1" x14ac:dyDescent="0.2">
      <c r="B124" s="29"/>
      <c r="C124" s="29"/>
      <c r="D124" s="40"/>
      <c r="E124" s="40"/>
      <c r="F124" s="188"/>
      <c r="G124" s="188"/>
      <c r="H124" s="188"/>
      <c r="I124" s="188"/>
      <c r="J124" s="188"/>
      <c r="K124" s="188"/>
      <c r="L124" s="188"/>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row>
    <row r="125" spans="2:102" ht="23.25" customHeight="1" x14ac:dyDescent="0.2">
      <c r="B125" s="29"/>
      <c r="C125" s="29"/>
      <c r="D125" s="40"/>
      <c r="E125" s="40"/>
      <c r="F125" s="188"/>
      <c r="G125" s="188"/>
      <c r="H125" s="188"/>
      <c r="I125" s="188"/>
      <c r="J125" s="188"/>
      <c r="K125" s="188"/>
      <c r="L125" s="188"/>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row>
    <row r="126" spans="2:102" ht="23.25" customHeight="1" x14ac:dyDescent="0.2">
      <c r="B126" s="29"/>
      <c r="C126" s="29"/>
      <c r="D126" s="40"/>
      <c r="E126" s="40"/>
      <c r="F126" s="188"/>
      <c r="G126" s="188"/>
      <c r="H126" s="188"/>
      <c r="I126" s="188"/>
      <c r="J126" s="188"/>
      <c r="K126" s="188"/>
      <c r="L126" s="188"/>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row>
    <row r="127" spans="2:102" ht="23.25" customHeight="1" x14ac:dyDescent="0.2">
      <c r="B127" s="29"/>
      <c r="C127" s="29"/>
      <c r="D127" s="40"/>
      <c r="E127" s="40"/>
      <c r="F127" s="188"/>
      <c r="G127" s="188"/>
      <c r="H127" s="188"/>
      <c r="I127" s="188"/>
      <c r="J127" s="188"/>
      <c r="K127" s="188"/>
      <c r="L127" s="188"/>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row>
    <row r="128" spans="2:102" ht="23.25" customHeight="1" x14ac:dyDescent="0.2">
      <c r="B128" s="29"/>
      <c r="C128" s="29"/>
      <c r="D128" s="40"/>
      <c r="E128" s="40"/>
      <c r="F128" s="188"/>
      <c r="G128" s="188"/>
      <c r="H128" s="188"/>
      <c r="I128" s="188"/>
      <c r="J128" s="188"/>
      <c r="K128" s="188"/>
      <c r="L128" s="188"/>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row>
    <row r="129" spans="2:102" ht="23.25" customHeight="1" x14ac:dyDescent="0.2">
      <c r="B129" s="29"/>
      <c r="C129" s="29"/>
      <c r="D129" s="40"/>
      <c r="E129" s="40"/>
      <c r="F129" s="188"/>
      <c r="G129" s="188"/>
      <c r="H129" s="188"/>
      <c r="I129" s="188"/>
      <c r="J129" s="188"/>
      <c r="K129" s="188"/>
      <c r="L129" s="188"/>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row>
    <row r="130" spans="2:102" ht="23.25" customHeight="1" x14ac:dyDescent="0.2">
      <c r="B130" s="29"/>
      <c r="C130" s="29"/>
      <c r="D130" s="40"/>
      <c r="E130" s="40"/>
      <c r="F130" s="188"/>
      <c r="G130" s="188"/>
      <c r="H130" s="188"/>
      <c r="I130" s="188"/>
      <c r="J130" s="188"/>
      <c r="K130" s="188"/>
      <c r="L130" s="188"/>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row>
    <row r="131" spans="2:102" ht="23.25" customHeight="1" x14ac:dyDescent="0.2">
      <c r="B131" s="29"/>
      <c r="C131" s="29"/>
      <c r="D131" s="40"/>
      <c r="E131" s="40"/>
      <c r="F131" s="188"/>
      <c r="G131" s="188"/>
      <c r="H131" s="188"/>
      <c r="I131" s="188"/>
      <c r="J131" s="188"/>
      <c r="K131" s="188"/>
      <c r="L131" s="188"/>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row>
    <row r="132" spans="2:102" ht="23.25" customHeight="1" x14ac:dyDescent="0.2">
      <c r="B132" s="29"/>
      <c r="C132" s="29"/>
      <c r="D132" s="40"/>
      <c r="E132" s="40"/>
      <c r="F132" s="188"/>
      <c r="G132" s="188"/>
      <c r="H132" s="188"/>
      <c r="I132" s="188"/>
      <c r="J132" s="188"/>
      <c r="K132" s="188"/>
      <c r="L132" s="188"/>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row>
    <row r="133" spans="2:102" ht="23.25" customHeight="1" x14ac:dyDescent="0.2">
      <c r="B133" s="29"/>
      <c r="C133" s="29"/>
      <c r="D133" s="40"/>
      <c r="E133" s="40"/>
      <c r="F133" s="188"/>
      <c r="G133" s="188"/>
      <c r="H133" s="188"/>
      <c r="I133" s="188"/>
      <c r="J133" s="188"/>
      <c r="K133" s="188"/>
      <c r="L133" s="188"/>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row>
    <row r="134" spans="2:102" ht="23.25" customHeight="1" x14ac:dyDescent="0.2">
      <c r="B134" s="29"/>
      <c r="C134" s="29"/>
      <c r="D134" s="40"/>
      <c r="E134" s="40"/>
      <c r="F134" s="188"/>
      <c r="G134" s="188"/>
      <c r="H134" s="188"/>
      <c r="I134" s="188"/>
      <c r="J134" s="188"/>
      <c r="K134" s="188"/>
      <c r="L134" s="188"/>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row>
    <row r="135" spans="2:102" ht="23.25" customHeight="1" x14ac:dyDescent="0.2">
      <c r="B135" s="29"/>
      <c r="C135" s="29"/>
      <c r="D135" s="40"/>
      <c r="E135" s="40"/>
      <c r="F135" s="188"/>
      <c r="G135" s="188"/>
      <c r="H135" s="188"/>
      <c r="I135" s="188"/>
      <c r="J135" s="188"/>
      <c r="K135" s="188"/>
      <c r="L135" s="188"/>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row>
    <row r="136" spans="2:102" ht="23.25" customHeight="1" x14ac:dyDescent="0.2">
      <c r="B136" s="29"/>
      <c r="C136" s="29"/>
      <c r="D136" s="40"/>
      <c r="E136" s="40"/>
      <c r="F136" s="188"/>
      <c r="G136" s="188"/>
      <c r="H136" s="188"/>
      <c r="I136" s="188"/>
      <c r="J136" s="188"/>
      <c r="K136" s="188"/>
      <c r="L136" s="188"/>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row>
    <row r="137" spans="2:102" ht="23.25" customHeight="1" x14ac:dyDescent="0.2">
      <c r="B137" s="29"/>
      <c r="C137" s="29"/>
      <c r="D137" s="40"/>
      <c r="E137" s="40"/>
      <c r="F137" s="188"/>
      <c r="G137" s="188"/>
      <c r="H137" s="188"/>
      <c r="I137" s="188"/>
      <c r="J137" s="188"/>
      <c r="K137" s="188"/>
      <c r="L137" s="188"/>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row>
    <row r="138" spans="2:102" ht="23.25" customHeight="1" x14ac:dyDescent="0.2">
      <c r="B138" s="29"/>
      <c r="C138" s="29"/>
      <c r="D138" s="40"/>
      <c r="E138" s="40"/>
      <c r="F138" s="188"/>
      <c r="G138" s="188"/>
      <c r="H138" s="188"/>
      <c r="I138" s="188"/>
      <c r="J138" s="188"/>
      <c r="K138" s="188"/>
      <c r="L138" s="188"/>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row>
    <row r="139" spans="2:102" ht="23.25" customHeight="1" x14ac:dyDescent="0.2">
      <c r="B139" s="29"/>
      <c r="C139" s="29"/>
      <c r="D139" s="40"/>
      <c r="E139" s="40"/>
      <c r="F139" s="188"/>
      <c r="G139" s="188"/>
      <c r="H139" s="188"/>
      <c r="I139" s="188"/>
      <c r="J139" s="188"/>
      <c r="K139" s="188"/>
      <c r="L139" s="188"/>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row>
    <row r="140" spans="2:102" ht="23.25" customHeight="1" x14ac:dyDescent="0.2">
      <c r="B140" s="29"/>
      <c r="C140" s="29"/>
      <c r="D140" s="40"/>
      <c r="E140" s="40"/>
      <c r="F140" s="188"/>
      <c r="G140" s="188"/>
      <c r="H140" s="188"/>
      <c r="I140" s="188"/>
      <c r="J140" s="188"/>
      <c r="K140" s="188"/>
      <c r="L140" s="188"/>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row>
    <row r="141" spans="2:102" ht="23.25" customHeight="1" x14ac:dyDescent="0.2">
      <c r="B141" s="29"/>
      <c r="C141" s="29"/>
      <c r="D141" s="40"/>
      <c r="E141" s="40"/>
      <c r="F141" s="188"/>
      <c r="G141" s="188"/>
      <c r="H141" s="188"/>
      <c r="I141" s="188"/>
      <c r="J141" s="188"/>
      <c r="K141" s="188"/>
      <c r="L141" s="188"/>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row>
    <row r="142" spans="2:102" ht="23.25" customHeight="1" x14ac:dyDescent="0.2">
      <c r="B142" s="29"/>
      <c r="C142" s="29"/>
      <c r="D142" s="40"/>
      <c r="E142" s="40"/>
      <c r="F142" s="188"/>
      <c r="G142" s="188"/>
      <c r="H142" s="188"/>
      <c r="I142" s="188"/>
      <c r="J142" s="188"/>
      <c r="K142" s="188"/>
      <c r="L142" s="188"/>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row>
    <row r="143" spans="2:102" ht="23.25" customHeight="1" x14ac:dyDescent="0.2">
      <c r="B143" s="29"/>
      <c r="C143" s="29"/>
      <c r="D143" s="40"/>
      <c r="E143" s="40"/>
      <c r="F143" s="188"/>
      <c r="G143" s="188"/>
      <c r="H143" s="188"/>
      <c r="I143" s="188"/>
      <c r="J143" s="188"/>
      <c r="K143" s="188"/>
      <c r="L143" s="188"/>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row>
    <row r="144" spans="2:102" ht="23.25" customHeight="1" x14ac:dyDescent="0.2">
      <c r="B144" s="29"/>
      <c r="C144" s="29"/>
      <c r="D144" s="40"/>
      <c r="E144" s="40"/>
      <c r="F144" s="188"/>
      <c r="G144" s="188"/>
      <c r="H144" s="188"/>
      <c r="I144" s="188"/>
      <c r="J144" s="188"/>
      <c r="K144" s="188"/>
      <c r="L144" s="188"/>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row>
    <row r="145" spans="2:102" ht="23.25" customHeight="1" x14ac:dyDescent="0.2">
      <c r="B145" s="29"/>
      <c r="C145" s="29"/>
      <c r="D145" s="40"/>
      <c r="E145" s="40"/>
      <c r="F145" s="188"/>
      <c r="G145" s="188"/>
      <c r="H145" s="188"/>
      <c r="I145" s="188"/>
      <c r="J145" s="188"/>
      <c r="K145" s="188"/>
      <c r="L145" s="188"/>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row>
    <row r="146" spans="2:102" ht="23.25" customHeight="1" x14ac:dyDescent="0.2">
      <c r="B146" s="29"/>
      <c r="C146" s="29"/>
      <c r="D146" s="40"/>
      <c r="E146" s="40"/>
      <c r="F146" s="188"/>
      <c r="G146" s="188"/>
      <c r="H146" s="188"/>
      <c r="I146" s="188"/>
      <c r="J146" s="188"/>
      <c r="K146" s="188"/>
      <c r="L146" s="188"/>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row>
    <row r="147" spans="2:102" ht="23.25" customHeight="1" x14ac:dyDescent="0.2">
      <c r="B147" s="29"/>
      <c r="C147" s="29"/>
      <c r="D147" s="40"/>
      <c r="E147" s="40"/>
      <c r="F147" s="188"/>
      <c r="G147" s="188"/>
      <c r="H147" s="188"/>
      <c r="I147" s="188"/>
      <c r="J147" s="188"/>
      <c r="K147" s="188"/>
      <c r="L147" s="188"/>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row>
    <row r="148" spans="2:102" ht="23.25" customHeight="1" x14ac:dyDescent="0.2">
      <c r="B148" s="29"/>
      <c r="C148" s="29"/>
      <c r="D148" s="40"/>
      <c r="E148" s="40"/>
      <c r="F148" s="188"/>
      <c r="G148" s="188"/>
      <c r="H148" s="188"/>
      <c r="I148" s="188"/>
      <c r="J148" s="188"/>
      <c r="K148" s="188"/>
      <c r="L148" s="188"/>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row>
    <row r="149" spans="2:102" ht="23.25" customHeight="1" x14ac:dyDescent="0.2">
      <c r="B149" s="29"/>
      <c r="C149" s="29"/>
      <c r="D149" s="40"/>
      <c r="E149" s="40"/>
      <c r="F149" s="188"/>
      <c r="G149" s="188"/>
      <c r="H149" s="188"/>
      <c r="I149" s="188"/>
      <c r="J149" s="188"/>
      <c r="K149" s="188"/>
      <c r="L149" s="188"/>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row>
    <row r="150" spans="2:102" ht="23.25" customHeight="1" x14ac:dyDescent="0.2">
      <c r="B150" s="29"/>
      <c r="C150" s="29"/>
      <c r="D150" s="40"/>
      <c r="E150" s="40"/>
      <c r="F150" s="188"/>
      <c r="G150" s="188"/>
      <c r="H150" s="188"/>
      <c r="I150" s="188"/>
      <c r="J150" s="188"/>
      <c r="K150" s="188"/>
      <c r="L150" s="188"/>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row>
    <row r="151" spans="2:102" ht="23.25" customHeight="1" x14ac:dyDescent="0.2">
      <c r="B151" s="29"/>
      <c r="C151" s="29"/>
      <c r="D151" s="40"/>
      <c r="E151" s="40"/>
      <c r="F151" s="188"/>
      <c r="G151" s="188"/>
      <c r="H151" s="188"/>
      <c r="I151" s="188"/>
      <c r="J151" s="188"/>
      <c r="K151" s="188"/>
      <c r="L151" s="188"/>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row>
    <row r="152" spans="2:102" ht="23.25" customHeight="1" x14ac:dyDescent="0.2">
      <c r="B152" s="29"/>
      <c r="C152" s="29"/>
      <c r="D152" s="40"/>
      <c r="E152" s="40"/>
      <c r="F152" s="188"/>
      <c r="G152" s="188"/>
      <c r="H152" s="188"/>
      <c r="I152" s="188"/>
      <c r="J152" s="188"/>
      <c r="K152" s="188"/>
      <c r="L152" s="188"/>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row>
    <row r="153" spans="2:102" ht="23.25" customHeight="1" x14ac:dyDescent="0.2">
      <c r="B153" s="29"/>
      <c r="C153" s="29"/>
      <c r="D153" s="40"/>
      <c r="E153" s="40"/>
      <c r="F153" s="188"/>
      <c r="G153" s="188"/>
      <c r="H153" s="188"/>
      <c r="I153" s="188"/>
      <c r="J153" s="188"/>
      <c r="K153" s="188"/>
      <c r="L153" s="188"/>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row>
    <row r="154" spans="2:102" ht="23.25" customHeight="1" x14ac:dyDescent="0.2">
      <c r="B154" s="29"/>
      <c r="C154" s="29"/>
      <c r="D154" s="40"/>
      <c r="E154" s="40"/>
      <c r="F154" s="188"/>
      <c r="G154" s="188"/>
      <c r="H154" s="188"/>
      <c r="I154" s="188"/>
      <c r="J154" s="188"/>
      <c r="K154" s="188"/>
      <c r="L154" s="188"/>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row>
    <row r="155" spans="2:102" ht="23.25" customHeight="1" x14ac:dyDescent="0.2">
      <c r="B155" s="29"/>
      <c r="C155" s="29"/>
      <c r="D155" s="40"/>
      <c r="E155" s="40"/>
      <c r="F155" s="188"/>
      <c r="G155" s="188"/>
      <c r="H155" s="188"/>
      <c r="I155" s="188"/>
      <c r="J155" s="188"/>
      <c r="K155" s="188"/>
      <c r="L155" s="188"/>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row>
    <row r="156" spans="2:102" ht="23.25" customHeight="1" x14ac:dyDescent="0.2">
      <c r="B156" s="29"/>
      <c r="C156" s="29"/>
      <c r="D156" s="40"/>
      <c r="E156" s="40"/>
      <c r="F156" s="188"/>
      <c r="G156" s="188"/>
      <c r="H156" s="188"/>
      <c r="I156" s="188"/>
      <c r="J156" s="188"/>
      <c r="K156" s="188"/>
      <c r="L156" s="188"/>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row>
    <row r="157" spans="2:102" ht="23.25" customHeight="1" x14ac:dyDescent="0.2">
      <c r="B157" s="29"/>
      <c r="C157" s="29"/>
      <c r="D157" s="40"/>
      <c r="E157" s="40"/>
      <c r="F157" s="188"/>
      <c r="G157" s="188"/>
      <c r="H157" s="188"/>
      <c r="I157" s="188"/>
      <c r="J157" s="188"/>
      <c r="K157" s="188"/>
      <c r="L157" s="188"/>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row>
    <row r="158" spans="2:102" ht="23.25" customHeight="1" x14ac:dyDescent="0.2">
      <c r="B158" s="29"/>
      <c r="C158" s="29"/>
      <c r="D158" s="40"/>
      <c r="E158" s="40"/>
      <c r="F158" s="188"/>
      <c r="G158" s="188"/>
      <c r="H158" s="188"/>
      <c r="I158" s="188"/>
      <c r="J158" s="188"/>
      <c r="K158" s="188"/>
      <c r="L158" s="188"/>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row>
    <row r="159" spans="2:102" ht="23.25" customHeight="1" x14ac:dyDescent="0.2">
      <c r="B159" s="29"/>
      <c r="C159" s="29"/>
      <c r="D159" s="40"/>
      <c r="E159" s="40"/>
      <c r="F159" s="188"/>
      <c r="G159" s="188"/>
      <c r="H159" s="188"/>
      <c r="I159" s="188"/>
      <c r="J159" s="188"/>
      <c r="K159" s="188"/>
      <c r="L159" s="188"/>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row>
    <row r="160" spans="2:102" ht="23.25" customHeight="1" x14ac:dyDescent="0.2">
      <c r="B160" s="29"/>
      <c r="C160" s="29"/>
      <c r="D160" s="40"/>
      <c r="E160" s="40"/>
      <c r="F160" s="188"/>
      <c r="G160" s="188"/>
      <c r="H160" s="188"/>
      <c r="I160" s="188"/>
      <c r="J160" s="188"/>
      <c r="K160" s="188"/>
      <c r="L160" s="188"/>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row>
    <row r="161" spans="2:102" ht="23.25" customHeight="1" x14ac:dyDescent="0.2">
      <c r="B161" s="29"/>
      <c r="C161" s="29"/>
      <c r="D161" s="40"/>
      <c r="E161" s="40"/>
      <c r="F161" s="188"/>
      <c r="G161" s="188"/>
      <c r="H161" s="188"/>
      <c r="I161" s="188"/>
      <c r="J161" s="188"/>
      <c r="K161" s="188"/>
      <c r="L161" s="188"/>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row>
    <row r="162" spans="2:102" ht="23.25" customHeight="1" x14ac:dyDescent="0.2">
      <c r="B162" s="29"/>
      <c r="C162" s="29"/>
      <c r="D162" s="40"/>
      <c r="E162" s="40"/>
      <c r="F162" s="188"/>
      <c r="G162" s="188"/>
      <c r="H162" s="188"/>
      <c r="I162" s="188"/>
      <c r="J162" s="188"/>
      <c r="K162" s="188"/>
      <c r="L162" s="188"/>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row>
    <row r="163" spans="2:102" ht="23.25" customHeight="1" x14ac:dyDescent="0.2">
      <c r="B163" s="29"/>
      <c r="C163" s="29"/>
      <c r="D163" s="40"/>
      <c r="E163" s="40"/>
      <c r="F163" s="188"/>
      <c r="G163" s="188"/>
      <c r="H163" s="188"/>
      <c r="I163" s="188"/>
      <c r="J163" s="188"/>
      <c r="K163" s="188"/>
      <c r="L163" s="188"/>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row>
    <row r="164" spans="2:102" ht="23.25" customHeight="1" x14ac:dyDescent="0.2">
      <c r="B164" s="29"/>
      <c r="C164" s="29"/>
      <c r="D164" s="40"/>
      <c r="E164" s="40"/>
      <c r="F164" s="188"/>
      <c r="G164" s="188"/>
      <c r="H164" s="188"/>
      <c r="I164" s="188"/>
      <c r="J164" s="188"/>
      <c r="K164" s="188"/>
      <c r="L164" s="188"/>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row>
    <row r="165" spans="2:102" ht="23.25" customHeight="1" x14ac:dyDescent="0.2">
      <c r="B165" s="29"/>
      <c r="C165" s="29"/>
      <c r="D165" s="40"/>
      <c r="E165" s="40"/>
      <c r="F165" s="188"/>
      <c r="G165" s="188"/>
      <c r="H165" s="188"/>
      <c r="I165" s="188"/>
      <c r="J165" s="188"/>
      <c r="K165" s="188"/>
      <c r="L165" s="188"/>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row>
    <row r="166" spans="2:102" ht="23.25" customHeight="1" x14ac:dyDescent="0.2">
      <c r="B166" s="29"/>
      <c r="C166" s="29"/>
      <c r="D166" s="40"/>
      <c r="E166" s="40"/>
      <c r="F166" s="188"/>
      <c r="G166" s="188"/>
      <c r="H166" s="188"/>
      <c r="I166" s="188"/>
      <c r="J166" s="188"/>
      <c r="K166" s="188"/>
      <c r="L166" s="188"/>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row>
    <row r="167" spans="2:102" ht="23.25" customHeight="1" x14ac:dyDescent="0.2">
      <c r="B167" s="29"/>
      <c r="C167" s="29"/>
      <c r="D167" s="40"/>
      <c r="E167" s="40"/>
      <c r="F167" s="188"/>
      <c r="G167" s="188"/>
      <c r="H167" s="188"/>
      <c r="I167" s="188"/>
      <c r="J167" s="188"/>
      <c r="K167" s="188"/>
      <c r="L167" s="188"/>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row>
    <row r="168" spans="2:102" ht="23.25" customHeight="1" x14ac:dyDescent="0.2">
      <c r="B168" s="29"/>
      <c r="C168" s="29"/>
      <c r="D168" s="40"/>
      <c r="E168" s="40"/>
      <c r="F168" s="188"/>
      <c r="G168" s="188"/>
      <c r="H168" s="188"/>
      <c r="I168" s="188"/>
      <c r="J168" s="188"/>
      <c r="K168" s="188"/>
      <c r="L168" s="188"/>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row>
    <row r="169" spans="2:102" ht="23.25" customHeight="1" x14ac:dyDescent="0.2">
      <c r="B169" s="29"/>
      <c r="C169" s="29"/>
      <c r="D169" s="40"/>
      <c r="E169" s="40"/>
      <c r="F169" s="188"/>
      <c r="G169" s="188"/>
      <c r="H169" s="188"/>
      <c r="I169" s="188"/>
      <c r="J169" s="188"/>
      <c r="K169" s="188"/>
      <c r="L169" s="188"/>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row>
    <row r="170" spans="2:102" ht="23.25" customHeight="1" x14ac:dyDescent="0.2">
      <c r="B170" s="29"/>
      <c r="C170" s="29"/>
      <c r="D170" s="40"/>
      <c r="E170" s="40"/>
      <c r="F170" s="188"/>
      <c r="G170" s="188"/>
      <c r="H170" s="188"/>
      <c r="I170" s="188"/>
      <c r="J170" s="188"/>
      <c r="K170" s="188"/>
      <c r="L170" s="188"/>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row>
    <row r="171" spans="2:102" ht="23.25" customHeight="1" x14ac:dyDescent="0.2">
      <c r="B171" s="29"/>
      <c r="C171" s="29"/>
      <c r="D171" s="40"/>
      <c r="E171" s="40"/>
      <c r="F171" s="188"/>
      <c r="G171" s="188"/>
      <c r="H171" s="188"/>
      <c r="I171" s="188"/>
      <c r="J171" s="188"/>
      <c r="K171" s="188"/>
      <c r="L171" s="188"/>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row>
    <row r="172" spans="2:102" ht="23.25" customHeight="1" x14ac:dyDescent="0.2">
      <c r="B172" s="29"/>
      <c r="C172" s="29"/>
      <c r="D172" s="40"/>
      <c r="E172" s="40"/>
      <c r="F172" s="188"/>
      <c r="G172" s="188"/>
      <c r="H172" s="188"/>
      <c r="I172" s="188"/>
      <c r="J172" s="188"/>
      <c r="K172" s="188"/>
      <c r="L172" s="188"/>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row>
    <row r="173" spans="2:102" ht="23.25" customHeight="1" x14ac:dyDescent="0.2">
      <c r="B173" s="29"/>
      <c r="C173" s="29"/>
      <c r="D173" s="40"/>
      <c r="E173" s="40"/>
      <c r="F173" s="188"/>
      <c r="G173" s="188"/>
      <c r="H173" s="188"/>
      <c r="I173" s="188"/>
      <c r="J173" s="188"/>
      <c r="K173" s="188"/>
      <c r="L173" s="188"/>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row>
    <row r="174" spans="2:102" ht="23.25" customHeight="1" x14ac:dyDescent="0.2">
      <c r="B174" s="29"/>
      <c r="C174" s="29"/>
      <c r="D174" s="40"/>
      <c r="E174" s="40"/>
      <c r="F174" s="188"/>
      <c r="G174" s="188"/>
      <c r="H174" s="188"/>
      <c r="I174" s="188"/>
      <c r="J174" s="188"/>
      <c r="K174" s="188"/>
      <c r="L174" s="188"/>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row>
    <row r="175" spans="2:102" ht="23.25" customHeight="1" x14ac:dyDescent="0.2">
      <c r="B175" s="29"/>
      <c r="C175" s="29"/>
      <c r="D175" s="40"/>
      <c r="E175" s="40"/>
      <c r="F175" s="188"/>
      <c r="G175" s="188"/>
      <c r="H175" s="188"/>
      <c r="I175" s="188"/>
      <c r="J175" s="188"/>
      <c r="K175" s="188"/>
      <c r="L175" s="188"/>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row>
    <row r="176" spans="2:102" ht="23.25" customHeight="1" x14ac:dyDescent="0.2">
      <c r="B176" s="29"/>
      <c r="C176" s="29"/>
      <c r="D176" s="40"/>
      <c r="E176" s="40"/>
      <c r="F176" s="188"/>
      <c r="G176" s="188"/>
      <c r="H176" s="188"/>
      <c r="I176" s="188"/>
      <c r="J176" s="188"/>
      <c r="K176" s="188"/>
      <c r="L176" s="188"/>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row>
    <row r="177" spans="2:102" ht="23.25" customHeight="1" x14ac:dyDescent="0.2">
      <c r="B177" s="29"/>
      <c r="C177" s="29"/>
      <c r="D177" s="40"/>
      <c r="E177" s="40"/>
      <c r="F177" s="188"/>
      <c r="G177" s="188"/>
      <c r="H177" s="188"/>
      <c r="I177" s="188"/>
      <c r="J177" s="188"/>
      <c r="K177" s="188"/>
      <c r="L177" s="188"/>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row>
    <row r="178" spans="2:102" ht="23.25" customHeight="1" x14ac:dyDescent="0.2">
      <c r="B178" s="29"/>
      <c r="C178" s="29"/>
      <c r="D178" s="40"/>
      <c r="E178" s="40"/>
      <c r="F178" s="188"/>
      <c r="G178" s="188"/>
      <c r="H178" s="188"/>
      <c r="I178" s="188"/>
      <c r="J178" s="188"/>
      <c r="K178" s="188"/>
      <c r="L178" s="188"/>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row>
    <row r="179" spans="2:102" ht="23.25" customHeight="1" x14ac:dyDescent="0.2">
      <c r="B179" s="29"/>
      <c r="C179" s="29"/>
      <c r="D179" s="40"/>
      <c r="E179" s="40"/>
      <c r="F179" s="188"/>
      <c r="G179" s="188"/>
      <c r="H179" s="188"/>
      <c r="I179" s="188"/>
      <c r="J179" s="188"/>
      <c r="K179" s="188"/>
      <c r="L179" s="188"/>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row>
    <row r="180" spans="2:102" ht="23.25" customHeight="1" x14ac:dyDescent="0.2">
      <c r="B180" s="29"/>
      <c r="C180" s="29"/>
      <c r="D180" s="40"/>
      <c r="E180" s="40"/>
      <c r="F180" s="188"/>
      <c r="G180" s="188"/>
      <c r="H180" s="188"/>
      <c r="I180" s="188"/>
      <c r="J180" s="188"/>
      <c r="K180" s="188"/>
      <c r="L180" s="188"/>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row>
    <row r="181" spans="2:102" ht="23.25" customHeight="1" x14ac:dyDescent="0.2">
      <c r="B181" s="29"/>
      <c r="C181" s="29"/>
      <c r="D181" s="40"/>
      <c r="E181" s="40"/>
      <c r="F181" s="188"/>
      <c r="G181" s="188"/>
      <c r="H181" s="188"/>
      <c r="I181" s="188"/>
      <c r="J181" s="188"/>
      <c r="K181" s="188"/>
      <c r="L181" s="188"/>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row>
    <row r="182" spans="2:102" ht="23.25" customHeight="1" x14ac:dyDescent="0.2">
      <c r="B182" s="29"/>
      <c r="C182" s="29"/>
      <c r="D182" s="40"/>
      <c r="E182" s="40"/>
      <c r="F182" s="188"/>
      <c r="G182" s="188"/>
      <c r="H182" s="188"/>
      <c r="I182" s="188"/>
      <c r="J182" s="188"/>
      <c r="K182" s="188"/>
      <c r="L182" s="188"/>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row>
    <row r="183" spans="2:102" ht="23.25" customHeight="1" x14ac:dyDescent="0.2">
      <c r="B183" s="29"/>
      <c r="C183" s="29"/>
      <c r="D183" s="40"/>
      <c r="E183" s="40"/>
      <c r="F183" s="188"/>
      <c r="G183" s="188"/>
      <c r="H183" s="188"/>
      <c r="I183" s="188"/>
      <c r="J183" s="188"/>
      <c r="K183" s="188"/>
      <c r="L183" s="188"/>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row>
    <row r="184" spans="2:102" ht="23.25" customHeight="1" x14ac:dyDescent="0.2">
      <c r="B184" s="29"/>
      <c r="C184" s="29"/>
      <c r="D184" s="40"/>
      <c r="E184" s="40"/>
      <c r="F184" s="188"/>
      <c r="G184" s="188"/>
      <c r="H184" s="188"/>
      <c r="I184" s="188"/>
      <c r="J184" s="188"/>
      <c r="K184" s="188"/>
      <c r="L184" s="188"/>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row>
    <row r="185" spans="2:102" ht="23.25" customHeight="1" x14ac:dyDescent="0.2">
      <c r="B185" s="29"/>
      <c r="C185" s="29"/>
      <c r="D185" s="40"/>
      <c r="E185" s="40"/>
      <c r="F185" s="188"/>
      <c r="G185" s="188"/>
      <c r="H185" s="188"/>
      <c r="I185" s="188"/>
      <c r="J185" s="188"/>
      <c r="K185" s="188"/>
      <c r="L185" s="188"/>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row>
    <row r="186" spans="2:102" ht="23.25" customHeight="1" x14ac:dyDescent="0.2">
      <c r="B186" s="29"/>
      <c r="C186" s="29"/>
      <c r="D186" s="40"/>
      <c r="E186" s="40"/>
      <c r="F186" s="188"/>
      <c r="G186" s="188"/>
      <c r="H186" s="188"/>
      <c r="I186" s="188"/>
      <c r="J186" s="188"/>
      <c r="K186" s="188"/>
      <c r="L186" s="188"/>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row>
    <row r="187" spans="2:102" ht="23.25" customHeight="1" x14ac:dyDescent="0.2">
      <c r="B187" s="29"/>
      <c r="C187" s="29"/>
      <c r="D187" s="40"/>
      <c r="E187" s="40"/>
      <c r="F187" s="188"/>
      <c r="G187" s="188"/>
      <c r="H187" s="188"/>
      <c r="I187" s="188"/>
      <c r="J187" s="188"/>
      <c r="K187" s="188"/>
      <c r="L187" s="188"/>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row>
    <row r="188" spans="2:102" ht="23.25" customHeight="1" x14ac:dyDescent="0.2">
      <c r="B188" s="29"/>
      <c r="C188" s="29"/>
      <c r="D188" s="40"/>
      <c r="E188" s="40"/>
      <c r="F188" s="188"/>
      <c r="G188" s="188"/>
      <c r="H188" s="188"/>
      <c r="I188" s="188"/>
      <c r="J188" s="188"/>
      <c r="K188" s="188"/>
      <c r="L188" s="188"/>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row>
    <row r="189" spans="2:102" ht="23.25" customHeight="1" x14ac:dyDescent="0.2">
      <c r="B189" s="29"/>
      <c r="C189" s="29"/>
      <c r="D189" s="40"/>
      <c r="E189" s="40"/>
      <c r="F189" s="188"/>
      <c r="G189" s="188"/>
      <c r="H189" s="188"/>
      <c r="I189" s="188"/>
      <c r="J189" s="188"/>
      <c r="K189" s="188"/>
      <c r="L189" s="188"/>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row>
    <row r="190" spans="2:102" ht="23.25" customHeight="1" x14ac:dyDescent="0.2">
      <c r="B190" s="29"/>
      <c r="C190" s="29"/>
      <c r="D190" s="40"/>
      <c r="E190" s="40"/>
      <c r="F190" s="188"/>
      <c r="G190" s="188"/>
      <c r="H190" s="188"/>
      <c r="I190" s="188"/>
      <c r="J190" s="188"/>
      <c r="K190" s="188"/>
      <c r="L190" s="188"/>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row>
    <row r="191" spans="2:102" ht="23.25" customHeight="1" x14ac:dyDescent="0.2">
      <c r="B191" s="29"/>
      <c r="C191" s="29"/>
      <c r="D191" s="40"/>
      <c r="E191" s="40"/>
      <c r="F191" s="188"/>
      <c r="G191" s="188"/>
      <c r="H191" s="188"/>
      <c r="I191" s="188"/>
      <c r="J191" s="188"/>
      <c r="K191" s="188"/>
      <c r="L191" s="188"/>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row>
    <row r="192" spans="2:102" ht="23.25" customHeight="1" x14ac:dyDescent="0.2">
      <c r="B192" s="29"/>
      <c r="C192" s="29"/>
      <c r="D192" s="40"/>
      <c r="E192" s="40"/>
      <c r="F192" s="188"/>
      <c r="G192" s="188"/>
      <c r="H192" s="188"/>
      <c r="I192" s="188"/>
      <c r="J192" s="188"/>
      <c r="K192" s="188"/>
      <c r="L192" s="188"/>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row>
    <row r="193" spans="2:102" ht="23.25" customHeight="1" x14ac:dyDescent="0.2">
      <c r="B193" s="29"/>
      <c r="C193" s="29"/>
      <c r="D193" s="40"/>
      <c r="E193" s="40"/>
      <c r="F193" s="188"/>
      <c r="G193" s="188"/>
      <c r="H193" s="188"/>
      <c r="I193" s="188"/>
      <c r="J193" s="188"/>
      <c r="K193" s="188"/>
      <c r="L193" s="188"/>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row>
    <row r="194" spans="2:102" ht="23.25" customHeight="1" x14ac:dyDescent="0.2">
      <c r="B194" s="29"/>
      <c r="C194" s="29"/>
      <c r="D194" s="40"/>
      <c r="E194" s="40"/>
      <c r="F194" s="188"/>
      <c r="G194" s="188"/>
      <c r="H194" s="188"/>
      <c r="I194" s="188"/>
      <c r="J194" s="188"/>
      <c r="K194" s="188"/>
      <c r="L194" s="188"/>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row>
    <row r="195" spans="2:102" ht="23.25" customHeight="1" x14ac:dyDescent="0.2">
      <c r="B195" s="29"/>
      <c r="C195" s="29"/>
      <c r="D195" s="40"/>
      <c r="E195" s="40"/>
      <c r="F195" s="188"/>
      <c r="G195" s="188"/>
      <c r="H195" s="188"/>
      <c r="I195" s="188"/>
      <c r="J195" s="188"/>
      <c r="K195" s="188"/>
      <c r="L195" s="188"/>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row>
    <row r="196" spans="2:102" ht="23.25" customHeight="1" x14ac:dyDescent="0.2">
      <c r="B196" s="29"/>
      <c r="C196" s="29"/>
      <c r="D196" s="40"/>
      <c r="E196" s="40"/>
      <c r="F196" s="188"/>
      <c r="G196" s="188"/>
      <c r="H196" s="188"/>
      <c r="I196" s="188"/>
      <c r="J196" s="188"/>
      <c r="K196" s="188"/>
      <c r="L196" s="188"/>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row>
    <row r="197" spans="2:102" ht="23.25" customHeight="1" x14ac:dyDescent="0.2">
      <c r="B197" s="29"/>
      <c r="C197" s="29"/>
      <c r="D197" s="40"/>
      <c r="E197" s="40"/>
      <c r="F197" s="188"/>
      <c r="G197" s="188"/>
      <c r="H197" s="188"/>
      <c r="I197" s="188"/>
      <c r="J197" s="188"/>
      <c r="K197" s="188"/>
      <c r="L197" s="188"/>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row>
    <row r="198" spans="2:102" ht="23.25" customHeight="1" x14ac:dyDescent="0.2">
      <c r="B198" s="29"/>
      <c r="C198" s="29"/>
      <c r="D198" s="40"/>
      <c r="E198" s="40"/>
      <c r="F198" s="188"/>
      <c r="G198" s="188"/>
      <c r="H198" s="188"/>
      <c r="I198" s="188"/>
      <c r="J198" s="188"/>
      <c r="K198" s="188"/>
      <c r="L198" s="188"/>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row>
    <row r="199" spans="2:102" ht="23.25" customHeight="1" x14ac:dyDescent="0.2">
      <c r="B199" s="29"/>
      <c r="C199" s="29"/>
      <c r="D199" s="40"/>
      <c r="E199" s="40"/>
      <c r="F199" s="188"/>
      <c r="G199" s="188"/>
      <c r="H199" s="188"/>
      <c r="I199" s="188"/>
      <c r="J199" s="188"/>
      <c r="K199" s="188"/>
      <c r="L199" s="188"/>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row>
    <row r="200" spans="2:102" ht="23.25" customHeight="1" x14ac:dyDescent="0.2">
      <c r="B200" s="29"/>
      <c r="C200" s="29"/>
      <c r="D200" s="40"/>
      <c r="E200" s="40"/>
      <c r="F200" s="188"/>
      <c r="G200" s="188"/>
      <c r="H200" s="188"/>
      <c r="I200" s="188"/>
      <c r="J200" s="188"/>
      <c r="K200" s="188"/>
      <c r="L200" s="188"/>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row>
    <row r="201" spans="2:102" ht="23.25" customHeight="1" x14ac:dyDescent="0.2">
      <c r="B201" s="29"/>
      <c r="C201" s="29"/>
      <c r="D201" s="40"/>
      <c r="E201" s="40"/>
      <c r="F201" s="188"/>
      <c r="G201" s="188"/>
      <c r="H201" s="188"/>
      <c r="I201" s="188"/>
      <c r="J201" s="188"/>
      <c r="K201" s="188"/>
      <c r="L201" s="188"/>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row>
    <row r="202" spans="2:102" ht="23.25" customHeight="1" x14ac:dyDescent="0.2">
      <c r="B202" s="29"/>
      <c r="C202" s="29"/>
      <c r="D202" s="40"/>
      <c r="E202" s="40"/>
      <c r="F202" s="188"/>
      <c r="G202" s="188"/>
      <c r="H202" s="188"/>
      <c r="I202" s="188"/>
      <c r="J202" s="188"/>
      <c r="K202" s="188"/>
      <c r="L202" s="188"/>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row>
    <row r="203" spans="2:102" ht="23.25" customHeight="1" x14ac:dyDescent="0.2">
      <c r="B203" s="29"/>
      <c r="C203" s="29"/>
      <c r="D203" s="40"/>
      <c r="E203" s="40"/>
      <c r="F203" s="188"/>
      <c r="G203" s="188"/>
      <c r="H203" s="188"/>
      <c r="I203" s="188"/>
      <c r="J203" s="188"/>
      <c r="K203" s="188"/>
      <c r="L203" s="188"/>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row>
    <row r="204" spans="2:102" ht="23.25" customHeight="1" x14ac:dyDescent="0.2">
      <c r="B204" s="29"/>
      <c r="C204" s="29"/>
      <c r="D204" s="40"/>
      <c r="E204" s="40"/>
      <c r="F204" s="188"/>
      <c r="G204" s="188"/>
      <c r="H204" s="188"/>
      <c r="I204" s="188"/>
      <c r="J204" s="188"/>
      <c r="K204" s="188"/>
      <c r="L204" s="188"/>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row>
    <row r="205" spans="2:102" ht="23.25" customHeight="1" x14ac:dyDescent="0.2">
      <c r="B205" s="29"/>
      <c r="C205" s="29"/>
      <c r="D205" s="40"/>
      <c r="E205" s="40"/>
      <c r="F205" s="188"/>
      <c r="G205" s="188"/>
      <c r="H205" s="188"/>
      <c r="I205" s="188"/>
      <c r="J205" s="188"/>
      <c r="K205" s="188"/>
      <c r="L205" s="188"/>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row>
    <row r="206" spans="2:102" ht="23.25" customHeight="1" x14ac:dyDescent="0.2">
      <c r="B206" s="29"/>
      <c r="C206" s="29"/>
      <c r="D206" s="40"/>
      <c r="E206" s="40"/>
      <c r="F206" s="188"/>
      <c r="G206" s="188"/>
      <c r="H206" s="188"/>
      <c r="I206" s="188"/>
      <c r="J206" s="188"/>
      <c r="K206" s="188"/>
      <c r="L206" s="188"/>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row>
    <row r="207" spans="2:102" ht="23.25" customHeight="1" x14ac:dyDescent="0.2">
      <c r="B207" s="29"/>
      <c r="C207" s="29"/>
      <c r="D207" s="40"/>
      <c r="E207" s="40"/>
      <c r="F207" s="188"/>
      <c r="G207" s="188"/>
      <c r="H207" s="188"/>
      <c r="I207" s="188"/>
      <c r="J207" s="188"/>
      <c r="K207" s="188"/>
      <c r="L207" s="188"/>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row>
    <row r="208" spans="2:102" ht="23.25" customHeight="1" x14ac:dyDescent="0.2">
      <c r="B208" s="29"/>
      <c r="C208" s="29"/>
      <c r="D208" s="40"/>
      <c r="E208" s="40"/>
      <c r="F208" s="188"/>
      <c r="G208" s="188"/>
      <c r="H208" s="188"/>
      <c r="I208" s="188"/>
      <c r="J208" s="188"/>
      <c r="K208" s="188"/>
      <c r="L208" s="188"/>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row>
    <row r="209" spans="2:102" ht="23.25" customHeight="1" x14ac:dyDescent="0.2">
      <c r="B209" s="29"/>
      <c r="C209" s="29"/>
      <c r="D209" s="40"/>
      <c r="E209" s="40"/>
      <c r="F209" s="188"/>
      <c r="G209" s="188"/>
      <c r="H209" s="188"/>
      <c r="I209" s="188"/>
      <c r="J209" s="188"/>
      <c r="K209" s="188"/>
      <c r="L209" s="188"/>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row>
    <row r="210" spans="2:102" ht="23.25" customHeight="1" x14ac:dyDescent="0.2">
      <c r="B210" s="29"/>
      <c r="C210" s="29"/>
      <c r="D210" s="40"/>
      <c r="E210" s="40"/>
      <c r="F210" s="188"/>
      <c r="G210" s="188"/>
      <c r="H210" s="188"/>
      <c r="I210" s="188"/>
      <c r="J210" s="188"/>
      <c r="K210" s="188"/>
      <c r="L210" s="188"/>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row>
    <row r="211" spans="2:102" ht="23.25" customHeight="1" x14ac:dyDescent="0.2">
      <c r="B211" s="29"/>
      <c r="C211" s="29"/>
      <c r="D211" s="40"/>
      <c r="E211" s="40"/>
      <c r="F211" s="188"/>
      <c r="G211" s="188"/>
      <c r="H211" s="188"/>
      <c r="I211" s="188"/>
      <c r="J211" s="188"/>
      <c r="K211" s="188"/>
      <c r="L211" s="188"/>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row>
    <row r="212" spans="2:102" ht="23.25" customHeight="1" x14ac:dyDescent="0.2">
      <c r="B212" s="29"/>
      <c r="C212" s="29"/>
      <c r="D212" s="40"/>
      <c r="E212" s="40"/>
      <c r="F212" s="188"/>
      <c r="G212" s="188"/>
      <c r="H212" s="188"/>
      <c r="I212" s="188"/>
      <c r="J212" s="188"/>
      <c r="K212" s="188"/>
      <c r="L212" s="188"/>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row>
    <row r="213" spans="2:102" ht="23.25" customHeight="1" x14ac:dyDescent="0.2">
      <c r="B213" s="29"/>
      <c r="C213" s="29"/>
      <c r="D213" s="40"/>
      <c r="E213" s="40"/>
      <c r="F213" s="188"/>
      <c r="G213" s="188"/>
      <c r="H213" s="188"/>
      <c r="I213" s="188"/>
      <c r="J213" s="188"/>
      <c r="K213" s="188"/>
      <c r="L213" s="188"/>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row>
    <row r="214" spans="2:102" ht="23.25" customHeight="1" x14ac:dyDescent="0.2">
      <c r="B214" s="29"/>
      <c r="C214" s="29"/>
      <c r="D214" s="40"/>
      <c r="E214" s="40"/>
      <c r="F214" s="188"/>
      <c r="G214" s="188"/>
      <c r="H214" s="188"/>
      <c r="I214" s="188"/>
      <c r="J214" s="188"/>
      <c r="K214" s="188"/>
      <c r="L214" s="188"/>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row>
    <row r="215" spans="2:102" ht="23.25" customHeight="1" x14ac:dyDescent="0.2">
      <c r="B215" s="29"/>
      <c r="C215" s="29"/>
      <c r="D215" s="40"/>
      <c r="E215" s="40"/>
      <c r="F215" s="188"/>
      <c r="G215" s="188"/>
      <c r="H215" s="188"/>
      <c r="I215" s="188"/>
      <c r="J215" s="188"/>
      <c r="K215" s="188"/>
      <c r="L215" s="188"/>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row>
    <row r="216" spans="2:102" ht="23.25" customHeight="1" x14ac:dyDescent="0.2">
      <c r="B216" s="29"/>
      <c r="C216" s="29"/>
      <c r="D216" s="40"/>
      <c r="E216" s="40"/>
      <c r="F216" s="188"/>
      <c r="G216" s="188"/>
      <c r="H216" s="188"/>
      <c r="I216" s="188"/>
      <c r="J216" s="188"/>
      <c r="K216" s="188"/>
      <c r="L216" s="188"/>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row>
    <row r="217" spans="2:102" ht="23.25" customHeight="1" x14ac:dyDescent="0.2">
      <c r="B217" s="29"/>
      <c r="C217" s="29"/>
      <c r="D217" s="40"/>
      <c r="E217" s="40"/>
      <c r="F217" s="188"/>
      <c r="G217" s="188"/>
      <c r="H217" s="188"/>
      <c r="I217" s="188"/>
      <c r="J217" s="188"/>
      <c r="K217" s="188"/>
      <c r="L217" s="188"/>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row>
    <row r="218" spans="2:102" ht="23.25" customHeight="1" x14ac:dyDescent="0.2">
      <c r="B218" s="29"/>
      <c r="C218" s="29"/>
      <c r="D218" s="40"/>
      <c r="E218" s="40"/>
      <c r="F218" s="188"/>
      <c r="G218" s="188"/>
      <c r="H218" s="188"/>
      <c r="I218" s="188"/>
      <c r="J218" s="188"/>
      <c r="K218" s="188"/>
      <c r="L218" s="188"/>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row>
    <row r="219" spans="2:102" ht="23.25" customHeight="1" x14ac:dyDescent="0.2">
      <c r="B219" s="29"/>
      <c r="C219" s="29"/>
      <c r="D219" s="40"/>
      <c r="E219" s="40"/>
      <c r="F219" s="188"/>
      <c r="G219" s="188"/>
      <c r="H219" s="188"/>
      <c r="I219" s="188"/>
      <c r="J219" s="188"/>
      <c r="K219" s="188"/>
      <c r="L219" s="188"/>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row>
    <row r="220" spans="2:102" ht="23.25" customHeight="1" x14ac:dyDescent="0.2">
      <c r="B220" s="29"/>
      <c r="C220" s="29"/>
      <c r="D220" s="40"/>
      <c r="E220" s="40"/>
      <c r="F220" s="188"/>
      <c r="G220" s="188"/>
      <c r="H220" s="188"/>
      <c r="I220" s="188"/>
      <c r="J220" s="188"/>
      <c r="K220" s="188"/>
      <c r="L220" s="188"/>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row>
    <row r="221" spans="2:102" ht="23.25" customHeight="1" x14ac:dyDescent="0.2">
      <c r="B221" s="29"/>
      <c r="C221" s="29"/>
      <c r="D221" s="40"/>
      <c r="E221" s="40"/>
      <c r="F221" s="188"/>
      <c r="G221" s="188"/>
      <c r="H221" s="188"/>
      <c r="I221" s="188"/>
      <c r="J221" s="188"/>
      <c r="K221" s="188"/>
      <c r="L221" s="188"/>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row>
    <row r="222" spans="2:102" ht="23.25" customHeight="1" x14ac:dyDescent="0.2">
      <c r="B222" s="29"/>
      <c r="C222" s="29"/>
      <c r="D222" s="40"/>
      <c r="E222" s="40"/>
      <c r="F222" s="188"/>
      <c r="G222" s="188"/>
      <c r="H222" s="188"/>
      <c r="I222" s="188"/>
      <c r="J222" s="188"/>
      <c r="K222" s="188"/>
      <c r="L222" s="188"/>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row>
    <row r="223" spans="2:102" ht="23.25" customHeight="1" x14ac:dyDescent="0.2">
      <c r="B223" s="29"/>
      <c r="C223" s="29"/>
      <c r="D223" s="40"/>
      <c r="E223" s="40"/>
      <c r="F223" s="188"/>
      <c r="G223" s="188"/>
      <c r="H223" s="188"/>
      <c r="I223" s="188"/>
      <c r="J223" s="188"/>
      <c r="K223" s="188"/>
      <c r="L223" s="188"/>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row>
    <row r="224" spans="2:102" ht="23.25" customHeight="1" x14ac:dyDescent="0.2">
      <c r="B224" s="29"/>
      <c r="C224" s="29"/>
      <c r="D224" s="40"/>
      <c r="E224" s="40"/>
      <c r="F224" s="188"/>
      <c r="G224" s="188"/>
      <c r="H224" s="188"/>
      <c r="I224" s="188"/>
      <c r="J224" s="188"/>
      <c r="K224" s="188"/>
      <c r="L224" s="188"/>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row>
    <row r="225" spans="2:102" ht="23.25" customHeight="1" x14ac:dyDescent="0.2">
      <c r="B225" s="29"/>
      <c r="C225" s="29"/>
      <c r="D225" s="40"/>
      <c r="E225" s="40"/>
      <c r="F225" s="188"/>
      <c r="G225" s="188"/>
      <c r="H225" s="188"/>
      <c r="I225" s="188"/>
      <c r="J225" s="188"/>
      <c r="K225" s="188"/>
      <c r="L225" s="188"/>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row>
    <row r="226" spans="2:102" ht="23.25" customHeight="1" x14ac:dyDescent="0.2">
      <c r="B226" s="29"/>
      <c r="C226" s="29"/>
      <c r="D226" s="40"/>
      <c r="E226" s="40"/>
      <c r="F226" s="188"/>
      <c r="G226" s="188"/>
      <c r="H226" s="188"/>
      <c r="I226" s="188"/>
      <c r="J226" s="188"/>
      <c r="K226" s="188"/>
      <c r="L226" s="188"/>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row>
    <row r="227" spans="2:102" ht="23.25" customHeight="1" x14ac:dyDescent="0.2">
      <c r="B227" s="29"/>
      <c r="C227" s="29"/>
      <c r="D227" s="40"/>
      <c r="E227" s="40"/>
      <c r="F227" s="188"/>
      <c r="G227" s="188"/>
      <c r="H227" s="188"/>
      <c r="I227" s="188"/>
      <c r="J227" s="188"/>
      <c r="K227" s="188"/>
      <c r="L227" s="188"/>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row>
    <row r="228" spans="2:102" ht="23.25" customHeight="1" x14ac:dyDescent="0.2">
      <c r="B228" s="29"/>
      <c r="C228" s="29"/>
      <c r="D228" s="40"/>
      <c r="E228" s="40"/>
      <c r="F228" s="188"/>
      <c r="G228" s="188"/>
      <c r="H228" s="188"/>
      <c r="I228" s="188"/>
      <c r="J228" s="188"/>
      <c r="K228" s="188"/>
      <c r="L228" s="188"/>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row>
    <row r="229" spans="2:102" ht="23.25" customHeight="1" x14ac:dyDescent="0.2">
      <c r="B229" s="29"/>
      <c r="C229" s="29"/>
      <c r="D229" s="40"/>
      <c r="E229" s="40"/>
      <c r="F229" s="188"/>
      <c r="G229" s="188"/>
      <c r="H229" s="188"/>
      <c r="I229" s="188"/>
      <c r="J229" s="188"/>
      <c r="K229" s="188"/>
      <c r="L229" s="188"/>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row>
    <row r="230" spans="2:102" ht="23.25" customHeight="1" x14ac:dyDescent="0.2">
      <c r="B230" s="29"/>
      <c r="C230" s="29"/>
      <c r="D230" s="40"/>
      <c r="E230" s="40"/>
      <c r="F230" s="188"/>
      <c r="G230" s="188"/>
      <c r="H230" s="188"/>
      <c r="I230" s="188"/>
      <c r="J230" s="188"/>
      <c r="K230" s="188"/>
      <c r="L230" s="188"/>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row>
    <row r="231" spans="2:102" ht="23.25" customHeight="1" x14ac:dyDescent="0.2">
      <c r="B231" s="29"/>
      <c r="C231" s="29"/>
      <c r="D231" s="40"/>
      <c r="E231" s="40"/>
      <c r="F231" s="188"/>
      <c r="G231" s="188"/>
      <c r="H231" s="188"/>
      <c r="I231" s="188"/>
      <c r="J231" s="188"/>
      <c r="K231" s="188"/>
      <c r="L231" s="188"/>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row>
    <row r="232" spans="2:102" ht="23.25" customHeight="1" x14ac:dyDescent="0.2">
      <c r="B232" s="29"/>
      <c r="C232" s="29"/>
      <c r="D232" s="40"/>
      <c r="E232" s="40"/>
      <c r="F232" s="188"/>
      <c r="G232" s="188"/>
      <c r="H232" s="188"/>
      <c r="I232" s="188"/>
      <c r="J232" s="188"/>
      <c r="K232" s="188"/>
      <c r="L232" s="188"/>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row>
    <row r="233" spans="2:102" ht="23.25" customHeight="1" x14ac:dyDescent="0.2">
      <c r="B233" s="29"/>
      <c r="C233" s="29"/>
      <c r="D233" s="40"/>
      <c r="E233" s="40"/>
      <c r="F233" s="188"/>
      <c r="G233" s="188"/>
      <c r="H233" s="188"/>
      <c r="I233" s="188"/>
      <c r="J233" s="188"/>
      <c r="K233" s="188"/>
      <c r="L233" s="188"/>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row>
    <row r="234" spans="2:102" ht="23.25" customHeight="1" x14ac:dyDescent="0.2">
      <c r="B234" s="29"/>
      <c r="C234" s="29"/>
      <c r="D234" s="40"/>
      <c r="E234" s="40"/>
      <c r="F234" s="188"/>
      <c r="G234" s="188"/>
      <c r="H234" s="188"/>
      <c r="I234" s="188"/>
      <c r="J234" s="188"/>
      <c r="K234" s="188"/>
      <c r="L234" s="188"/>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row>
    <row r="235" spans="2:102" ht="23.25" customHeight="1" x14ac:dyDescent="0.2">
      <c r="B235" s="29"/>
      <c r="C235" s="29"/>
      <c r="D235" s="40"/>
      <c r="E235" s="40"/>
      <c r="F235" s="188"/>
      <c r="G235" s="188"/>
      <c r="H235" s="188"/>
      <c r="I235" s="188"/>
      <c r="J235" s="188"/>
      <c r="K235" s="188"/>
      <c r="L235" s="188"/>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row>
    <row r="236" spans="2:102" ht="23.25" customHeight="1" x14ac:dyDescent="0.2">
      <c r="B236" s="29"/>
      <c r="C236" s="29"/>
      <c r="D236" s="40"/>
      <c r="E236" s="40"/>
      <c r="F236" s="188"/>
      <c r="G236" s="188"/>
      <c r="H236" s="188"/>
      <c r="I236" s="188"/>
      <c r="J236" s="188"/>
      <c r="K236" s="188"/>
      <c r="L236" s="188"/>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row>
    <row r="237" spans="2:102" ht="23.25" customHeight="1" x14ac:dyDescent="0.2">
      <c r="B237" s="29"/>
      <c r="C237" s="29"/>
      <c r="D237" s="40"/>
      <c r="E237" s="40"/>
      <c r="F237" s="188"/>
      <c r="G237" s="188"/>
      <c r="H237" s="188"/>
      <c r="I237" s="188"/>
      <c r="J237" s="188"/>
      <c r="K237" s="188"/>
      <c r="L237" s="188"/>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row>
    <row r="238" spans="2:102" ht="23.25" customHeight="1" x14ac:dyDescent="0.2">
      <c r="B238" s="29"/>
      <c r="C238" s="29"/>
      <c r="D238" s="40"/>
      <c r="E238" s="40"/>
      <c r="F238" s="188"/>
      <c r="G238" s="188"/>
      <c r="H238" s="188"/>
      <c r="I238" s="188"/>
      <c r="J238" s="188"/>
      <c r="K238" s="188"/>
      <c r="L238" s="188"/>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row>
    <row r="239" spans="2:102" ht="23.25" customHeight="1" x14ac:dyDescent="0.2">
      <c r="B239" s="29"/>
      <c r="C239" s="29"/>
      <c r="D239" s="40"/>
      <c r="E239" s="40"/>
      <c r="F239" s="188"/>
      <c r="G239" s="188"/>
      <c r="H239" s="188"/>
      <c r="I239" s="188"/>
      <c r="J239" s="188"/>
      <c r="K239" s="188"/>
      <c r="L239" s="188"/>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row>
    <row r="240" spans="2:102" ht="23.25" customHeight="1" x14ac:dyDescent="0.2">
      <c r="B240" s="29"/>
      <c r="C240" s="29"/>
      <c r="D240" s="40"/>
      <c r="E240" s="40"/>
      <c r="F240" s="188"/>
      <c r="G240" s="188"/>
      <c r="H240" s="188"/>
      <c r="I240" s="188"/>
      <c r="J240" s="188"/>
      <c r="K240" s="188"/>
      <c r="L240" s="188"/>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row>
    <row r="241" spans="2:102" ht="23.25" customHeight="1" x14ac:dyDescent="0.2">
      <c r="B241" s="29"/>
      <c r="C241" s="29"/>
      <c r="D241" s="40"/>
      <c r="E241" s="40"/>
      <c r="F241" s="188"/>
      <c r="G241" s="188"/>
      <c r="H241" s="188"/>
      <c r="I241" s="188"/>
      <c r="J241" s="188"/>
      <c r="K241" s="188"/>
      <c r="L241" s="188"/>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row>
    <row r="242" spans="2:102" ht="23.25" customHeight="1" x14ac:dyDescent="0.2">
      <c r="B242" s="29"/>
      <c r="C242" s="29"/>
      <c r="D242" s="40"/>
      <c r="E242" s="40"/>
      <c r="F242" s="188"/>
      <c r="G242" s="188"/>
      <c r="H242" s="188"/>
      <c r="I242" s="188"/>
      <c r="J242" s="188"/>
      <c r="K242" s="188"/>
      <c r="L242" s="188"/>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row>
    <row r="243" spans="2:102" ht="23.25" customHeight="1" x14ac:dyDescent="0.2">
      <c r="B243" s="29"/>
      <c r="C243" s="29"/>
      <c r="D243" s="40"/>
      <c r="E243" s="40"/>
      <c r="F243" s="188"/>
      <c r="G243" s="188"/>
      <c r="H243" s="188"/>
      <c r="I243" s="188"/>
      <c r="J243" s="188"/>
      <c r="K243" s="188"/>
      <c r="L243" s="188"/>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row>
    <row r="244" spans="2:102" ht="23.25" customHeight="1" x14ac:dyDescent="0.2">
      <c r="B244" s="29"/>
      <c r="C244" s="29"/>
      <c r="D244" s="40"/>
      <c r="E244" s="40"/>
      <c r="F244" s="188"/>
      <c r="G244" s="188"/>
      <c r="H244" s="188"/>
      <c r="I244" s="188"/>
      <c r="J244" s="188"/>
      <c r="K244" s="188"/>
      <c r="L244" s="188"/>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row>
    <row r="245" spans="2:102" ht="23.25" customHeight="1" x14ac:dyDescent="0.2">
      <c r="B245" s="29"/>
      <c r="C245" s="29"/>
      <c r="D245" s="40"/>
      <c r="E245" s="40"/>
      <c r="F245" s="188"/>
      <c r="G245" s="188"/>
      <c r="H245" s="188"/>
      <c r="I245" s="188"/>
      <c r="J245" s="188"/>
      <c r="K245" s="188"/>
      <c r="L245" s="188"/>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row>
    <row r="246" spans="2:102" ht="23.25" customHeight="1" x14ac:dyDescent="0.2">
      <c r="B246" s="29"/>
      <c r="C246" s="29"/>
      <c r="D246" s="40"/>
      <c r="E246" s="40"/>
      <c r="F246" s="188"/>
      <c r="G246" s="188"/>
      <c r="H246" s="188"/>
      <c r="I246" s="188"/>
      <c r="J246" s="188"/>
      <c r="K246" s="188"/>
      <c r="L246" s="188"/>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row>
    <row r="247" spans="2:102" ht="23.25" customHeight="1" x14ac:dyDescent="0.2">
      <c r="B247" s="29"/>
      <c r="C247" s="29"/>
      <c r="D247" s="40"/>
      <c r="E247" s="40"/>
      <c r="F247" s="188"/>
      <c r="G247" s="188"/>
      <c r="H247" s="188"/>
      <c r="I247" s="188"/>
      <c r="J247" s="188"/>
      <c r="K247" s="188"/>
      <c r="L247" s="188"/>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row>
    <row r="248" spans="2:102" ht="23.25" customHeight="1" x14ac:dyDescent="0.2">
      <c r="B248" s="29"/>
      <c r="C248" s="29"/>
      <c r="D248" s="40"/>
      <c r="E248" s="40"/>
      <c r="F248" s="188"/>
      <c r="G248" s="188"/>
      <c r="H248" s="188"/>
      <c r="I248" s="188"/>
      <c r="J248" s="188"/>
      <c r="K248" s="188"/>
      <c r="L248" s="188"/>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row>
    <row r="249" spans="2:102" ht="23.25" customHeight="1" x14ac:dyDescent="0.2">
      <c r="B249" s="29"/>
      <c r="C249" s="29"/>
      <c r="D249" s="40"/>
      <c r="E249" s="40"/>
      <c r="F249" s="188"/>
      <c r="G249" s="188"/>
      <c r="H249" s="188"/>
      <c r="I249" s="188"/>
      <c r="J249" s="188"/>
      <c r="K249" s="188"/>
      <c r="L249" s="188"/>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row>
    <row r="250" spans="2:102" ht="23.25" customHeight="1" x14ac:dyDescent="0.2">
      <c r="B250" s="29"/>
      <c r="C250" s="29"/>
      <c r="D250" s="40"/>
      <c r="E250" s="40"/>
      <c r="F250" s="188"/>
      <c r="G250" s="188"/>
      <c r="H250" s="188"/>
      <c r="I250" s="188"/>
      <c r="J250" s="188"/>
      <c r="K250" s="188"/>
      <c r="L250" s="188"/>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row>
    <row r="251" spans="2:102" ht="23.25" customHeight="1" x14ac:dyDescent="0.2">
      <c r="B251" s="29"/>
      <c r="C251" s="29"/>
      <c r="D251" s="40"/>
      <c r="E251" s="40"/>
      <c r="F251" s="188"/>
      <c r="G251" s="188"/>
      <c r="H251" s="188"/>
      <c r="I251" s="188"/>
      <c r="J251" s="188"/>
      <c r="K251" s="188"/>
      <c r="L251" s="188"/>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row>
    <row r="252" spans="2:102" ht="23.25" customHeight="1" x14ac:dyDescent="0.2">
      <c r="B252" s="29"/>
      <c r="C252" s="29"/>
      <c r="D252" s="40"/>
      <c r="E252" s="40"/>
      <c r="F252" s="188"/>
      <c r="G252" s="188"/>
      <c r="H252" s="188"/>
      <c r="I252" s="188"/>
      <c r="J252" s="188"/>
      <c r="K252" s="188"/>
      <c r="L252" s="188"/>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row>
    <row r="253" spans="2:102" ht="23.25" customHeight="1" x14ac:dyDescent="0.2">
      <c r="B253" s="29"/>
      <c r="C253" s="29"/>
      <c r="D253" s="40"/>
      <c r="E253" s="40"/>
      <c r="F253" s="188"/>
      <c r="G253" s="188"/>
      <c r="H253" s="188"/>
      <c r="I253" s="188"/>
      <c r="J253" s="188"/>
      <c r="K253" s="188"/>
      <c r="L253" s="188"/>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row>
    <row r="254" spans="2:102" ht="23.25" customHeight="1" x14ac:dyDescent="0.2">
      <c r="B254" s="29"/>
      <c r="C254" s="29"/>
      <c r="D254" s="40"/>
      <c r="E254" s="40"/>
      <c r="F254" s="188"/>
      <c r="G254" s="188"/>
      <c r="H254" s="188"/>
      <c r="I254" s="188"/>
      <c r="J254" s="188"/>
      <c r="K254" s="188"/>
      <c r="L254" s="188"/>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row>
    <row r="255" spans="2:102" ht="23.25" customHeight="1" x14ac:dyDescent="0.2">
      <c r="B255" s="29"/>
      <c r="C255" s="29"/>
      <c r="D255" s="40"/>
      <c r="E255" s="40"/>
      <c r="F255" s="188"/>
      <c r="G255" s="188"/>
      <c r="H255" s="188"/>
      <c r="I255" s="188"/>
      <c r="J255" s="188"/>
      <c r="K255" s="188"/>
      <c r="L255" s="188"/>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row>
    <row r="256" spans="2:102" ht="23.25" customHeight="1" x14ac:dyDescent="0.2">
      <c r="B256" s="29"/>
      <c r="C256" s="29"/>
      <c r="D256" s="40"/>
      <c r="E256" s="40"/>
      <c r="F256" s="188"/>
      <c r="G256" s="188"/>
      <c r="H256" s="188"/>
      <c r="I256" s="188"/>
      <c r="J256" s="188"/>
      <c r="K256" s="188"/>
      <c r="L256" s="188"/>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row>
    <row r="257" spans="2:102" ht="23.25" customHeight="1" x14ac:dyDescent="0.2">
      <c r="B257" s="29"/>
      <c r="C257" s="29"/>
      <c r="D257" s="40"/>
      <c r="E257" s="40"/>
      <c r="F257" s="188"/>
      <c r="G257" s="188"/>
      <c r="H257" s="188"/>
      <c r="I257" s="188"/>
      <c r="J257" s="188"/>
      <c r="K257" s="188"/>
      <c r="L257" s="188"/>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row>
    <row r="258" spans="2:102" ht="23.25" customHeight="1" x14ac:dyDescent="0.2">
      <c r="B258" s="29"/>
      <c r="C258" s="29"/>
      <c r="D258" s="40"/>
      <c r="E258" s="40"/>
      <c r="F258" s="188"/>
      <c r="G258" s="188"/>
      <c r="H258" s="188"/>
      <c r="I258" s="188"/>
      <c r="J258" s="188"/>
      <c r="K258" s="188"/>
      <c r="L258" s="188"/>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row>
    <row r="259" spans="2:102" ht="23.25" customHeight="1" x14ac:dyDescent="0.2">
      <c r="B259" s="29"/>
      <c r="C259" s="29"/>
      <c r="D259" s="40"/>
      <c r="E259" s="40"/>
      <c r="F259" s="188"/>
      <c r="G259" s="188"/>
      <c r="H259" s="188"/>
      <c r="I259" s="188"/>
      <c r="J259" s="188"/>
      <c r="K259" s="188"/>
      <c r="L259" s="188"/>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row>
    <row r="260" spans="2:102" ht="23.25" customHeight="1" x14ac:dyDescent="0.2">
      <c r="B260" s="29"/>
      <c r="C260" s="29"/>
      <c r="D260" s="40"/>
      <c r="E260" s="40"/>
      <c r="F260" s="188"/>
      <c r="G260" s="188"/>
      <c r="H260" s="188"/>
      <c r="I260" s="188"/>
      <c r="J260" s="188"/>
      <c r="K260" s="188"/>
      <c r="L260" s="188"/>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row>
    <row r="261" spans="2:102" ht="23.25" customHeight="1" x14ac:dyDescent="0.2">
      <c r="B261" s="29"/>
      <c r="C261" s="29"/>
      <c r="D261" s="40"/>
      <c r="E261" s="40"/>
      <c r="F261" s="188"/>
      <c r="G261" s="188"/>
      <c r="H261" s="188"/>
      <c r="I261" s="188"/>
      <c r="J261" s="188"/>
      <c r="K261" s="188"/>
      <c r="L261" s="188"/>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row>
    <row r="262" spans="2:102" ht="23.25" customHeight="1" x14ac:dyDescent="0.2">
      <c r="B262" s="29"/>
      <c r="C262" s="29"/>
      <c r="D262" s="40"/>
      <c r="E262" s="40"/>
      <c r="F262" s="188"/>
      <c r="G262" s="188"/>
      <c r="H262" s="188"/>
      <c r="I262" s="188"/>
      <c r="J262" s="188"/>
      <c r="K262" s="188"/>
      <c r="L262" s="188"/>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row>
    <row r="263" spans="2:102" ht="23.25" customHeight="1" x14ac:dyDescent="0.2">
      <c r="B263" s="29"/>
      <c r="C263" s="29"/>
      <c r="D263" s="40"/>
      <c r="E263" s="40"/>
      <c r="F263" s="188"/>
      <c r="G263" s="188"/>
      <c r="H263" s="188"/>
      <c r="I263" s="188"/>
      <c r="J263" s="188"/>
      <c r="K263" s="188"/>
      <c r="L263" s="188"/>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row>
    <row r="264" spans="2:102" ht="23.25" customHeight="1" x14ac:dyDescent="0.2">
      <c r="B264" s="29"/>
      <c r="C264" s="29"/>
      <c r="D264" s="40"/>
      <c r="E264" s="40"/>
      <c r="F264" s="188"/>
      <c r="G264" s="188"/>
      <c r="H264" s="188"/>
      <c r="I264" s="188"/>
      <c r="J264" s="188"/>
      <c r="K264" s="188"/>
      <c r="L264" s="188"/>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row>
    <row r="265" spans="2:102" ht="23.25" customHeight="1" x14ac:dyDescent="0.2">
      <c r="B265" s="29"/>
      <c r="C265" s="29"/>
      <c r="D265" s="40"/>
      <c r="E265" s="40"/>
      <c r="F265" s="188"/>
      <c r="G265" s="188"/>
      <c r="H265" s="188"/>
      <c r="I265" s="188"/>
      <c r="J265" s="188"/>
      <c r="K265" s="188"/>
      <c r="L265" s="188"/>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row>
    <row r="266" spans="2:102" ht="23.25" customHeight="1" x14ac:dyDescent="0.2">
      <c r="B266" s="29"/>
      <c r="C266" s="29"/>
      <c r="D266" s="40"/>
      <c r="E266" s="40"/>
      <c r="F266" s="188"/>
      <c r="G266" s="188"/>
      <c r="H266" s="188"/>
      <c r="I266" s="188"/>
      <c r="J266" s="188"/>
      <c r="K266" s="188"/>
      <c r="L266" s="188"/>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row>
    <row r="267" spans="2:102" ht="23.25" customHeight="1" x14ac:dyDescent="0.2">
      <c r="B267" s="29"/>
      <c r="C267" s="29"/>
      <c r="D267" s="40"/>
      <c r="E267" s="40"/>
      <c r="F267" s="188"/>
      <c r="G267" s="188"/>
      <c r="H267" s="188"/>
      <c r="I267" s="188"/>
      <c r="J267" s="188"/>
      <c r="K267" s="188"/>
      <c r="L267" s="188"/>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row>
    <row r="268" spans="2:102" ht="23.25" customHeight="1" x14ac:dyDescent="0.2">
      <c r="B268" s="29"/>
      <c r="C268" s="29"/>
      <c r="D268" s="40"/>
      <c r="E268" s="40"/>
      <c r="F268" s="188"/>
      <c r="G268" s="188"/>
      <c r="H268" s="188"/>
      <c r="I268" s="188"/>
      <c r="J268" s="188"/>
      <c r="K268" s="188"/>
      <c r="L268" s="188"/>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row>
    <row r="269" spans="2:102" ht="23.25" customHeight="1" x14ac:dyDescent="0.2">
      <c r="B269" s="29"/>
      <c r="C269" s="29"/>
      <c r="D269" s="40"/>
      <c r="E269" s="40"/>
      <c r="F269" s="188"/>
      <c r="G269" s="188"/>
      <c r="H269" s="188"/>
      <c r="I269" s="188"/>
      <c r="J269" s="188"/>
      <c r="K269" s="188"/>
      <c r="L269" s="188"/>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row>
    <row r="270" spans="2:102" ht="23.25" customHeight="1" x14ac:dyDescent="0.2">
      <c r="B270" s="29"/>
      <c r="C270" s="29"/>
      <c r="D270" s="40"/>
      <c r="E270" s="40"/>
      <c r="F270" s="188"/>
      <c r="G270" s="188"/>
      <c r="H270" s="188"/>
      <c r="I270" s="188"/>
      <c r="J270" s="188"/>
      <c r="K270" s="188"/>
      <c r="L270" s="188"/>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row>
    <row r="271" spans="2:102" ht="23.25" customHeight="1" x14ac:dyDescent="0.2">
      <c r="B271" s="29"/>
      <c r="C271" s="29"/>
      <c r="D271" s="40"/>
      <c r="E271" s="40"/>
      <c r="F271" s="188"/>
      <c r="G271" s="188"/>
      <c r="H271" s="188"/>
      <c r="I271" s="188"/>
      <c r="J271" s="188"/>
      <c r="K271" s="188"/>
      <c r="L271" s="188"/>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row>
    <row r="272" spans="2:102" ht="23.25" customHeight="1" x14ac:dyDescent="0.2">
      <c r="B272" s="29"/>
      <c r="C272" s="29"/>
      <c r="D272" s="40"/>
      <c r="E272" s="40"/>
      <c r="F272" s="188"/>
      <c r="G272" s="188"/>
      <c r="H272" s="188"/>
      <c r="I272" s="188"/>
      <c r="J272" s="188"/>
      <c r="K272" s="188"/>
      <c r="L272" s="188"/>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row>
    <row r="273" spans="2:102" ht="23.25" customHeight="1" x14ac:dyDescent="0.2">
      <c r="B273" s="29"/>
      <c r="C273" s="29"/>
      <c r="D273" s="40"/>
      <c r="E273" s="40"/>
      <c r="F273" s="188"/>
      <c r="G273" s="188"/>
      <c r="H273" s="188"/>
      <c r="I273" s="188"/>
      <c r="J273" s="188"/>
      <c r="K273" s="188"/>
      <c r="L273" s="188"/>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row>
    <row r="274" spans="2:102" ht="23.25" customHeight="1" x14ac:dyDescent="0.2">
      <c r="B274" s="29"/>
      <c r="C274" s="29"/>
      <c r="D274" s="40"/>
      <c r="E274" s="40"/>
      <c r="F274" s="188"/>
      <c r="G274" s="188"/>
      <c r="H274" s="188"/>
      <c r="I274" s="188"/>
      <c r="J274" s="188"/>
      <c r="K274" s="188"/>
      <c r="L274" s="188"/>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row>
    <row r="275" spans="2:102" ht="23.25" customHeight="1" x14ac:dyDescent="0.2">
      <c r="B275" s="29"/>
      <c r="C275" s="29"/>
      <c r="D275" s="40"/>
      <c r="E275" s="40"/>
      <c r="F275" s="188"/>
      <c r="G275" s="188"/>
      <c r="H275" s="188"/>
      <c r="I275" s="188"/>
      <c r="J275" s="188"/>
      <c r="K275" s="188"/>
      <c r="L275" s="188"/>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row>
    <row r="276" spans="2:102" ht="23.25" customHeight="1" x14ac:dyDescent="0.2">
      <c r="B276" s="29"/>
      <c r="C276" s="29"/>
      <c r="D276" s="40"/>
      <c r="E276" s="40"/>
      <c r="F276" s="188"/>
      <c r="G276" s="188"/>
      <c r="H276" s="188"/>
      <c r="I276" s="188"/>
      <c r="J276" s="188"/>
      <c r="K276" s="188"/>
      <c r="L276" s="188"/>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row>
    <row r="277" spans="2:102" ht="23.25" customHeight="1" x14ac:dyDescent="0.2">
      <c r="B277" s="29"/>
      <c r="C277" s="29"/>
      <c r="D277" s="40"/>
      <c r="E277" s="40"/>
      <c r="F277" s="188"/>
      <c r="G277" s="188"/>
      <c r="H277" s="188"/>
      <c r="I277" s="188"/>
      <c r="J277" s="188"/>
      <c r="K277" s="188"/>
      <c r="L277" s="188"/>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row>
    <row r="278" spans="2:102" ht="23.25" customHeight="1" x14ac:dyDescent="0.2">
      <c r="B278" s="29"/>
      <c r="C278" s="29"/>
      <c r="D278" s="40"/>
      <c r="E278" s="40"/>
      <c r="F278" s="188"/>
      <c r="G278" s="188"/>
      <c r="H278" s="188"/>
      <c r="I278" s="188"/>
      <c r="J278" s="188"/>
      <c r="K278" s="188"/>
      <c r="L278" s="188"/>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row>
    <row r="279" spans="2:102" ht="23.25" customHeight="1" x14ac:dyDescent="0.2">
      <c r="B279" s="29"/>
      <c r="C279" s="29"/>
      <c r="D279" s="40"/>
      <c r="E279" s="40"/>
      <c r="F279" s="188"/>
      <c r="G279" s="188"/>
      <c r="H279" s="188"/>
      <c r="I279" s="188"/>
      <c r="J279" s="188"/>
      <c r="K279" s="188"/>
      <c r="L279" s="188"/>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row>
    <row r="280" spans="2:102" ht="23.25" customHeight="1" x14ac:dyDescent="0.2">
      <c r="B280" s="29"/>
      <c r="C280" s="29"/>
      <c r="D280" s="40"/>
      <c r="E280" s="40"/>
      <c r="F280" s="188"/>
      <c r="G280" s="188"/>
      <c r="H280" s="188"/>
      <c r="I280" s="188"/>
      <c r="J280" s="188"/>
      <c r="K280" s="188"/>
      <c r="L280" s="188"/>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row>
    <row r="281" spans="2:102" ht="23.25" customHeight="1" x14ac:dyDescent="0.2">
      <c r="B281" s="29"/>
      <c r="C281" s="29"/>
      <c r="D281" s="40"/>
      <c r="E281" s="40"/>
      <c r="F281" s="188"/>
      <c r="G281" s="188"/>
      <c r="H281" s="188"/>
      <c r="I281" s="188"/>
      <c r="J281" s="188"/>
      <c r="K281" s="188"/>
      <c r="L281" s="188"/>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row>
    <row r="282" spans="2:102" ht="23.25" customHeight="1" x14ac:dyDescent="0.2">
      <c r="B282" s="29"/>
      <c r="C282" s="29"/>
      <c r="D282" s="40"/>
      <c r="E282" s="40"/>
      <c r="F282" s="188"/>
      <c r="G282" s="188"/>
      <c r="H282" s="188"/>
      <c r="I282" s="188"/>
      <c r="J282" s="188"/>
      <c r="K282" s="188"/>
      <c r="L282" s="188"/>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row>
    <row r="283" spans="2:102" ht="23.25" customHeight="1" x14ac:dyDescent="0.2">
      <c r="B283" s="29"/>
      <c r="C283" s="29"/>
      <c r="D283" s="40"/>
      <c r="E283" s="40"/>
      <c r="F283" s="188"/>
      <c r="G283" s="188"/>
      <c r="H283" s="188"/>
      <c r="I283" s="188"/>
      <c r="J283" s="188"/>
      <c r="K283" s="188"/>
      <c r="L283" s="188"/>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row>
    <row r="284" spans="2:102" ht="23.25" customHeight="1" x14ac:dyDescent="0.2">
      <c r="B284" s="29"/>
      <c r="C284" s="29"/>
      <c r="D284" s="40"/>
      <c r="E284" s="40"/>
      <c r="F284" s="188"/>
      <c r="G284" s="188"/>
      <c r="H284" s="188"/>
      <c r="I284" s="188"/>
      <c r="J284" s="188"/>
      <c r="K284" s="188"/>
      <c r="L284" s="188"/>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row>
    <row r="285" spans="2:102" ht="23.25" customHeight="1" x14ac:dyDescent="0.2">
      <c r="B285" s="29"/>
      <c r="C285" s="29"/>
      <c r="D285" s="40"/>
      <c r="E285" s="40"/>
      <c r="F285" s="188"/>
      <c r="G285" s="188"/>
      <c r="H285" s="188"/>
      <c r="I285" s="188"/>
      <c r="J285" s="188"/>
      <c r="K285" s="188"/>
      <c r="L285" s="188"/>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row>
    <row r="286" spans="2:102" ht="23.25" customHeight="1" x14ac:dyDescent="0.2">
      <c r="B286" s="29"/>
      <c r="C286" s="29"/>
      <c r="D286" s="40"/>
      <c r="E286" s="40"/>
      <c r="F286" s="188"/>
      <c r="G286" s="188"/>
      <c r="H286" s="188"/>
      <c r="I286" s="188"/>
      <c r="J286" s="188"/>
      <c r="K286" s="188"/>
      <c r="L286" s="188"/>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row>
    <row r="287" spans="2:102" ht="23.25" customHeight="1" x14ac:dyDescent="0.2">
      <c r="B287" s="29"/>
      <c r="C287" s="29"/>
      <c r="D287" s="40"/>
      <c r="E287" s="40"/>
      <c r="F287" s="188"/>
      <c r="G287" s="188"/>
      <c r="H287" s="188"/>
      <c r="I287" s="188"/>
      <c r="J287" s="188"/>
      <c r="K287" s="188"/>
      <c r="L287" s="188"/>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row>
    <row r="288" spans="2:102" ht="23.25" customHeight="1" x14ac:dyDescent="0.2">
      <c r="B288" s="29"/>
      <c r="C288" s="29"/>
      <c r="D288" s="40"/>
      <c r="E288" s="40"/>
      <c r="F288" s="188"/>
      <c r="G288" s="188"/>
      <c r="H288" s="188"/>
      <c r="I288" s="188"/>
      <c r="J288" s="188"/>
      <c r="K288" s="188"/>
      <c r="L288" s="188"/>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row>
    <row r="289" spans="2:102" ht="23.25" customHeight="1" x14ac:dyDescent="0.2">
      <c r="B289" s="29"/>
      <c r="C289" s="29"/>
      <c r="D289" s="40"/>
      <c r="E289" s="40"/>
      <c r="F289" s="188"/>
      <c r="G289" s="188"/>
      <c r="H289" s="188"/>
      <c r="I289" s="188"/>
      <c r="J289" s="188"/>
      <c r="K289" s="188"/>
      <c r="L289" s="188"/>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row>
    <row r="290" spans="2:102" ht="23.25" customHeight="1" x14ac:dyDescent="0.2">
      <c r="B290" s="29"/>
      <c r="C290" s="29"/>
      <c r="D290" s="40"/>
      <c r="E290" s="40"/>
      <c r="F290" s="188"/>
      <c r="G290" s="188"/>
      <c r="H290" s="188"/>
      <c r="I290" s="188"/>
      <c r="J290" s="188"/>
      <c r="K290" s="188"/>
      <c r="L290" s="188"/>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row>
    <row r="291" spans="2:102" ht="23.25" customHeight="1" x14ac:dyDescent="0.2">
      <c r="B291" s="29"/>
      <c r="C291" s="29"/>
      <c r="D291" s="40"/>
      <c r="E291" s="40"/>
      <c r="F291" s="188"/>
      <c r="G291" s="188"/>
      <c r="H291" s="188"/>
      <c r="I291" s="188"/>
      <c r="J291" s="188"/>
      <c r="K291" s="188"/>
      <c r="L291" s="188"/>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row>
    <row r="292" spans="2:102" ht="23.25" customHeight="1" x14ac:dyDescent="0.2">
      <c r="B292" s="29"/>
      <c r="C292" s="29"/>
      <c r="D292" s="40"/>
      <c r="E292" s="40"/>
      <c r="F292" s="188"/>
      <c r="G292" s="188"/>
      <c r="H292" s="188"/>
      <c r="I292" s="188"/>
      <c r="J292" s="188"/>
      <c r="K292" s="188"/>
      <c r="L292" s="188"/>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row>
    <row r="293" spans="2:102" ht="23.25" customHeight="1" x14ac:dyDescent="0.2">
      <c r="B293" s="29"/>
      <c r="C293" s="29"/>
      <c r="D293" s="40"/>
      <c r="E293" s="40"/>
      <c r="F293" s="188"/>
      <c r="G293" s="188"/>
      <c r="H293" s="188"/>
      <c r="I293" s="188"/>
      <c r="J293" s="188"/>
      <c r="K293" s="188"/>
      <c r="L293" s="188"/>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row>
    <row r="294" spans="2:102" ht="23.25" customHeight="1" x14ac:dyDescent="0.2">
      <c r="B294" s="29"/>
      <c r="C294" s="29"/>
      <c r="D294" s="40"/>
      <c r="E294" s="40"/>
      <c r="F294" s="188"/>
      <c r="G294" s="188"/>
      <c r="H294" s="188"/>
      <c r="I294" s="188"/>
      <c r="J294" s="188"/>
      <c r="K294" s="188"/>
      <c r="L294" s="188"/>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row>
    <row r="295" spans="2:102" ht="23.25" customHeight="1" x14ac:dyDescent="0.2">
      <c r="B295" s="29"/>
      <c r="C295" s="29"/>
      <c r="D295" s="40"/>
      <c r="E295" s="40"/>
      <c r="F295" s="188"/>
      <c r="G295" s="188"/>
      <c r="H295" s="188"/>
      <c r="I295" s="188"/>
      <c r="J295" s="188"/>
      <c r="K295" s="188"/>
      <c r="L295" s="188"/>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row>
    <row r="296" spans="2:102" ht="23.25" customHeight="1" x14ac:dyDescent="0.2">
      <c r="B296" s="29"/>
      <c r="C296" s="29"/>
      <c r="D296" s="40"/>
      <c r="E296" s="40"/>
      <c r="F296" s="188"/>
      <c r="G296" s="188"/>
      <c r="H296" s="188"/>
      <c r="I296" s="188"/>
      <c r="J296" s="188"/>
      <c r="K296" s="188"/>
      <c r="L296" s="188"/>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row>
    <row r="297" spans="2:102" ht="23.25" customHeight="1" x14ac:dyDescent="0.2">
      <c r="B297" s="29"/>
      <c r="C297" s="29"/>
      <c r="D297" s="40"/>
      <c r="E297" s="40"/>
      <c r="F297" s="188"/>
      <c r="G297" s="188"/>
      <c r="H297" s="188"/>
      <c r="I297" s="188"/>
      <c r="J297" s="188"/>
      <c r="K297" s="188"/>
      <c r="L297" s="188"/>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row>
    <row r="298" spans="2:102" ht="23.25" customHeight="1" x14ac:dyDescent="0.2">
      <c r="B298" s="29"/>
      <c r="C298" s="29"/>
      <c r="D298" s="40"/>
      <c r="E298" s="40"/>
      <c r="F298" s="188"/>
      <c r="G298" s="188"/>
      <c r="H298" s="188"/>
      <c r="I298" s="188"/>
      <c r="J298" s="188"/>
      <c r="K298" s="188"/>
      <c r="L298" s="188"/>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row>
    <row r="299" spans="2:102" ht="23.25" customHeight="1" x14ac:dyDescent="0.2">
      <c r="B299" s="29"/>
      <c r="C299" s="29"/>
      <c r="D299" s="40"/>
      <c r="E299" s="40"/>
      <c r="F299" s="188"/>
      <c r="G299" s="188"/>
      <c r="H299" s="188"/>
      <c r="I299" s="188"/>
      <c r="J299" s="188"/>
      <c r="K299" s="188"/>
      <c r="L299" s="188"/>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row>
    <row r="300" spans="2:102" ht="23.25" customHeight="1" x14ac:dyDescent="0.2">
      <c r="B300" s="29"/>
      <c r="C300" s="29"/>
      <c r="D300" s="40"/>
      <c r="E300" s="40"/>
      <c r="F300" s="188"/>
      <c r="G300" s="188"/>
      <c r="H300" s="188"/>
      <c r="I300" s="188"/>
      <c r="J300" s="188"/>
      <c r="K300" s="188"/>
      <c r="L300" s="188"/>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row>
    <row r="301" spans="2:102" ht="23.25" customHeight="1" x14ac:dyDescent="0.2">
      <c r="B301" s="29"/>
      <c r="C301" s="29"/>
      <c r="D301" s="40"/>
      <c r="E301" s="40"/>
      <c r="F301" s="188"/>
      <c r="G301" s="188"/>
      <c r="H301" s="188"/>
      <c r="I301" s="188"/>
      <c r="J301" s="188"/>
      <c r="K301" s="188"/>
      <c r="L301" s="188"/>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row>
    <row r="302" spans="2:102" ht="23.25" customHeight="1" x14ac:dyDescent="0.2">
      <c r="B302" s="29"/>
      <c r="C302" s="29"/>
      <c r="D302" s="40"/>
      <c r="E302" s="40"/>
      <c r="F302" s="188"/>
      <c r="G302" s="188"/>
      <c r="H302" s="188"/>
      <c r="I302" s="188"/>
      <c r="J302" s="188"/>
      <c r="K302" s="188"/>
      <c r="L302" s="188"/>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row>
    <row r="303" spans="2:102" ht="23.25" customHeight="1" x14ac:dyDescent="0.2">
      <c r="B303" s="29"/>
      <c r="C303" s="29"/>
      <c r="D303" s="40"/>
      <c r="E303" s="40"/>
      <c r="F303" s="188"/>
      <c r="G303" s="188"/>
      <c r="H303" s="188"/>
      <c r="I303" s="188"/>
      <c r="J303" s="188"/>
      <c r="K303" s="188"/>
      <c r="L303" s="188"/>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row>
    <row r="304" spans="2:102" ht="23.25" customHeight="1" x14ac:dyDescent="0.2">
      <c r="B304" s="29"/>
      <c r="C304" s="29"/>
      <c r="D304" s="40"/>
      <c r="E304" s="40"/>
      <c r="F304" s="188"/>
      <c r="G304" s="188"/>
      <c r="H304" s="188"/>
      <c r="I304" s="188"/>
      <c r="J304" s="188"/>
      <c r="K304" s="188"/>
      <c r="L304" s="188"/>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row>
    <row r="305" spans="2:102" ht="23.25" customHeight="1" x14ac:dyDescent="0.2">
      <c r="B305" s="29"/>
      <c r="C305" s="29"/>
      <c r="D305" s="40"/>
      <c r="E305" s="40"/>
      <c r="F305" s="188"/>
      <c r="G305" s="188"/>
      <c r="H305" s="188"/>
      <c r="I305" s="188"/>
      <c r="J305" s="188"/>
      <c r="K305" s="188"/>
      <c r="L305" s="188"/>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row>
    <row r="306" spans="2:102" ht="23.25" customHeight="1" x14ac:dyDescent="0.2">
      <c r="B306" s="29"/>
      <c r="C306" s="29"/>
      <c r="D306" s="40"/>
      <c r="E306" s="40"/>
      <c r="F306" s="188"/>
      <c r="G306" s="188"/>
      <c r="H306" s="188"/>
      <c r="I306" s="188"/>
      <c r="J306" s="188"/>
      <c r="K306" s="188"/>
      <c r="L306" s="188"/>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row>
    <row r="307" spans="2:102" ht="23.25" customHeight="1" x14ac:dyDescent="0.2">
      <c r="B307" s="29"/>
      <c r="C307" s="29"/>
      <c r="D307" s="40"/>
      <c r="E307" s="40"/>
      <c r="F307" s="188"/>
      <c r="G307" s="188"/>
      <c r="H307" s="188"/>
      <c r="I307" s="188"/>
      <c r="J307" s="188"/>
      <c r="K307" s="188"/>
      <c r="L307" s="188"/>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row>
    <row r="308" spans="2:102" ht="23.25" customHeight="1" x14ac:dyDescent="0.2">
      <c r="B308" s="29"/>
      <c r="C308" s="29"/>
      <c r="D308" s="40"/>
      <c r="E308" s="40"/>
      <c r="F308" s="188"/>
      <c r="G308" s="188"/>
      <c r="H308" s="188"/>
      <c r="I308" s="188"/>
      <c r="J308" s="188"/>
      <c r="K308" s="188"/>
      <c r="L308" s="188"/>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row>
    <row r="309" spans="2:102" ht="23.25" customHeight="1" x14ac:dyDescent="0.2">
      <c r="B309" s="29"/>
      <c r="C309" s="29"/>
      <c r="D309" s="40"/>
      <c r="E309" s="40"/>
      <c r="F309" s="188"/>
      <c r="G309" s="188"/>
      <c r="H309" s="188"/>
      <c r="I309" s="188"/>
      <c r="J309" s="188"/>
      <c r="K309" s="188"/>
      <c r="L309" s="188"/>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row>
    <row r="310" spans="2:102" ht="23.25" customHeight="1" x14ac:dyDescent="0.2">
      <c r="B310" s="29"/>
      <c r="C310" s="29"/>
      <c r="D310" s="40"/>
      <c r="E310" s="40"/>
      <c r="F310" s="188"/>
      <c r="G310" s="188"/>
      <c r="H310" s="188"/>
      <c r="I310" s="188"/>
      <c r="J310" s="188"/>
      <c r="K310" s="188"/>
      <c r="L310" s="188"/>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row>
    <row r="311" spans="2:102" ht="23.25" customHeight="1" x14ac:dyDescent="0.2">
      <c r="B311" s="29"/>
      <c r="C311" s="29"/>
      <c r="D311" s="40"/>
      <c r="E311" s="40"/>
      <c r="F311" s="188"/>
      <c r="G311" s="188"/>
      <c r="H311" s="188"/>
      <c r="I311" s="188"/>
      <c r="J311" s="188"/>
      <c r="K311" s="188"/>
      <c r="L311" s="188"/>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row>
    <row r="312" spans="2:102" ht="23.25" customHeight="1" x14ac:dyDescent="0.2">
      <c r="B312" s="29"/>
      <c r="C312" s="29"/>
      <c r="D312" s="40"/>
      <c r="E312" s="40"/>
      <c r="F312" s="188"/>
      <c r="G312" s="188"/>
      <c r="H312" s="188"/>
      <c r="I312" s="188"/>
      <c r="J312" s="188"/>
      <c r="K312" s="188"/>
      <c r="L312" s="188"/>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row>
    <row r="313" spans="2:102" ht="23.25" customHeight="1" x14ac:dyDescent="0.2">
      <c r="B313" s="29"/>
      <c r="C313" s="29"/>
      <c r="D313" s="40"/>
      <c r="E313" s="40"/>
      <c r="F313" s="188"/>
      <c r="G313" s="188"/>
      <c r="H313" s="188"/>
      <c r="I313" s="188"/>
      <c r="J313" s="188"/>
      <c r="K313" s="188"/>
      <c r="L313" s="188"/>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row>
    <row r="314" spans="2:102" ht="23.25" customHeight="1" x14ac:dyDescent="0.2">
      <c r="B314" s="29"/>
      <c r="C314" s="29"/>
      <c r="D314" s="40"/>
      <c r="E314" s="40"/>
      <c r="F314" s="188"/>
      <c r="G314" s="188"/>
      <c r="H314" s="188"/>
      <c r="I314" s="188"/>
      <c r="J314" s="188"/>
      <c r="K314" s="188"/>
      <c r="L314" s="188"/>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row>
    <row r="315" spans="2:102" ht="23.25" customHeight="1" x14ac:dyDescent="0.2">
      <c r="B315" s="29"/>
      <c r="C315" s="29"/>
      <c r="D315" s="40"/>
      <c r="E315" s="40"/>
      <c r="F315" s="188"/>
      <c r="G315" s="188"/>
      <c r="H315" s="188"/>
      <c r="I315" s="188"/>
      <c r="J315" s="188"/>
      <c r="K315" s="188"/>
      <c r="L315" s="188"/>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row>
    <row r="316" spans="2:102" ht="23.25" customHeight="1" x14ac:dyDescent="0.2">
      <c r="B316" s="29"/>
      <c r="C316" s="29"/>
      <c r="D316" s="40"/>
      <c r="E316" s="40"/>
      <c r="F316" s="188"/>
      <c r="G316" s="188"/>
      <c r="H316" s="188"/>
      <c r="I316" s="188"/>
      <c r="J316" s="188"/>
      <c r="K316" s="188"/>
      <c r="L316" s="188"/>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row>
  </sheetData>
  <sheetCalcPr fullCalcOnLoad="1"/>
  <sheetProtection password="CEF3" sheet="1" objects="1" scenarios="1" selectLockedCells="1"/>
  <mergeCells count="984">
    <mergeCell ref="AF28:AI29"/>
    <mergeCell ref="AL28:AO29"/>
    <mergeCell ref="AR28:AU29"/>
    <mergeCell ref="BA31:BD32"/>
    <mergeCell ref="BJ10:BM11"/>
    <mergeCell ref="BM13:BP14"/>
    <mergeCell ref="BP16:BS17"/>
    <mergeCell ref="AO19:AR20"/>
    <mergeCell ref="BD4:BG5"/>
    <mergeCell ref="AX10:BA11"/>
    <mergeCell ref="BD10:BG11"/>
    <mergeCell ref="AU25:AX26"/>
    <mergeCell ref="BA7:BD8"/>
    <mergeCell ref="BG7:BJ8"/>
    <mergeCell ref="AU13:AX14"/>
    <mergeCell ref="BA13:BD14"/>
    <mergeCell ref="BG13:BJ14"/>
    <mergeCell ref="AU19:AX20"/>
    <mergeCell ref="AX22:BA23"/>
    <mergeCell ref="BD22:BG23"/>
    <mergeCell ref="AR16:AU17"/>
    <mergeCell ref="AX16:BA17"/>
    <mergeCell ref="BD16:BG17"/>
    <mergeCell ref="BJ16:BM17"/>
    <mergeCell ref="BS25:BV26"/>
    <mergeCell ref="AX28:BA29"/>
    <mergeCell ref="BV22:BY23"/>
    <mergeCell ref="AI25:AL26"/>
    <mergeCell ref="AO25:AR26"/>
    <mergeCell ref="BA19:BD20"/>
    <mergeCell ref="BG19:BJ20"/>
    <mergeCell ref="BM19:BP20"/>
    <mergeCell ref="AL22:AO23"/>
    <mergeCell ref="AR22:AU23"/>
    <mergeCell ref="CB28:CE29"/>
    <mergeCell ref="BS31:BV32"/>
    <mergeCell ref="BY31:CB32"/>
    <mergeCell ref="CE31:CH32"/>
    <mergeCell ref="BY25:CB26"/>
    <mergeCell ref="BJ22:BM23"/>
    <mergeCell ref="BP22:BS23"/>
    <mergeCell ref="BJ28:BM29"/>
    <mergeCell ref="BP28:BS29"/>
    <mergeCell ref="BG25:BJ26"/>
    <mergeCell ref="Z34:AC35"/>
    <mergeCell ref="AF34:AI35"/>
    <mergeCell ref="AC31:AF32"/>
    <mergeCell ref="AI31:AL32"/>
    <mergeCell ref="BS19:BV20"/>
    <mergeCell ref="BM31:BP32"/>
    <mergeCell ref="BV28:BY29"/>
    <mergeCell ref="BD28:BG29"/>
    <mergeCell ref="BA25:BD26"/>
    <mergeCell ref="BM25:BP26"/>
    <mergeCell ref="BG37:BJ38"/>
    <mergeCell ref="BJ34:BM35"/>
    <mergeCell ref="BP34:BS35"/>
    <mergeCell ref="AX34:BA35"/>
    <mergeCell ref="BD34:BG35"/>
    <mergeCell ref="AO31:AR32"/>
    <mergeCell ref="AU31:AX32"/>
    <mergeCell ref="AL34:AO35"/>
    <mergeCell ref="AR34:AU35"/>
    <mergeCell ref="BG31:BJ32"/>
    <mergeCell ref="W37:Z38"/>
    <mergeCell ref="AC37:AF38"/>
    <mergeCell ref="AI37:AL38"/>
    <mergeCell ref="AO37:AR38"/>
    <mergeCell ref="AU37:AX38"/>
    <mergeCell ref="BA37:BD38"/>
    <mergeCell ref="BM37:BP38"/>
    <mergeCell ref="BS37:BV38"/>
    <mergeCell ref="BY37:CB38"/>
    <mergeCell ref="CE37:CH38"/>
    <mergeCell ref="BV34:BY35"/>
    <mergeCell ref="CB34:CE35"/>
    <mergeCell ref="CH34:CK35"/>
    <mergeCell ref="CH40:CK41"/>
    <mergeCell ref="CN40:CQ41"/>
    <mergeCell ref="CK37:CN38"/>
    <mergeCell ref="T40:W41"/>
    <mergeCell ref="Z40:AC41"/>
    <mergeCell ref="AF40:AI41"/>
    <mergeCell ref="AL40:AO41"/>
    <mergeCell ref="AR40:AU41"/>
    <mergeCell ref="AX40:BA41"/>
    <mergeCell ref="BD40:BG41"/>
    <mergeCell ref="Q43:T44"/>
    <mergeCell ref="W43:Z44"/>
    <mergeCell ref="AC43:AF44"/>
    <mergeCell ref="AI43:AL44"/>
    <mergeCell ref="BV40:BY41"/>
    <mergeCell ref="CB40:CE41"/>
    <mergeCell ref="BJ40:BM41"/>
    <mergeCell ref="BP40:BS41"/>
    <mergeCell ref="BM43:BP44"/>
    <mergeCell ref="BS43:BV44"/>
    <mergeCell ref="BY43:CB44"/>
    <mergeCell ref="CE43:CH44"/>
    <mergeCell ref="AO43:AR44"/>
    <mergeCell ref="AU43:AX44"/>
    <mergeCell ref="BA43:BD44"/>
    <mergeCell ref="BG43:BJ44"/>
    <mergeCell ref="CK43:CN44"/>
    <mergeCell ref="CQ43:CT44"/>
    <mergeCell ref="F47:L47"/>
    <mergeCell ref="M47:R47"/>
    <mergeCell ref="S47:X47"/>
    <mergeCell ref="Y47:AD47"/>
    <mergeCell ref="AE47:AJ47"/>
    <mergeCell ref="AK47:AP47"/>
    <mergeCell ref="AQ47:AV47"/>
    <mergeCell ref="AW47:BB47"/>
    <mergeCell ref="CM47:CR47"/>
    <mergeCell ref="CS47:CX47"/>
    <mergeCell ref="BC47:BH47"/>
    <mergeCell ref="BI47:BN47"/>
    <mergeCell ref="BO47:BT47"/>
    <mergeCell ref="BU47:BZ47"/>
    <mergeCell ref="F48:L48"/>
    <mergeCell ref="M48:R48"/>
    <mergeCell ref="S48:X48"/>
    <mergeCell ref="Y48:AD48"/>
    <mergeCell ref="CA47:CF47"/>
    <mergeCell ref="CG47:CL47"/>
    <mergeCell ref="CM48:CR48"/>
    <mergeCell ref="CS48:CX48"/>
    <mergeCell ref="BC48:BH48"/>
    <mergeCell ref="BI48:BN48"/>
    <mergeCell ref="BO48:BT48"/>
    <mergeCell ref="BU48:BZ48"/>
    <mergeCell ref="B49:B55"/>
    <mergeCell ref="C49:C55"/>
    <mergeCell ref="D49:D55"/>
    <mergeCell ref="E49:E55"/>
    <mergeCell ref="CA48:CF48"/>
    <mergeCell ref="CG48:CL48"/>
    <mergeCell ref="AE48:AJ48"/>
    <mergeCell ref="AK48:AP48"/>
    <mergeCell ref="AQ48:AV48"/>
    <mergeCell ref="AW48:BB48"/>
    <mergeCell ref="AK49:AP55"/>
    <mergeCell ref="AQ49:AV55"/>
    <mergeCell ref="AW49:BB55"/>
    <mergeCell ref="BC49:BH55"/>
    <mergeCell ref="M49:R55"/>
    <mergeCell ref="S49:X55"/>
    <mergeCell ref="Y49:AD55"/>
    <mergeCell ref="AE49:AJ55"/>
    <mergeCell ref="CG49:CL55"/>
    <mergeCell ref="CM49:CR55"/>
    <mergeCell ref="CS49:CX55"/>
    <mergeCell ref="BI49:BN55"/>
    <mergeCell ref="BO49:BT55"/>
    <mergeCell ref="BU49:BZ55"/>
    <mergeCell ref="CA49:CF55"/>
    <mergeCell ref="AE56:AJ56"/>
    <mergeCell ref="AK56:AP56"/>
    <mergeCell ref="AQ56:AV56"/>
    <mergeCell ref="AW56:BB56"/>
    <mergeCell ref="F56:L56"/>
    <mergeCell ref="M56:R56"/>
    <mergeCell ref="S56:X56"/>
    <mergeCell ref="Y56:AD56"/>
    <mergeCell ref="CA56:CF56"/>
    <mergeCell ref="CG56:CL56"/>
    <mergeCell ref="CM56:CR56"/>
    <mergeCell ref="CS56:CX56"/>
    <mergeCell ref="BC56:BH56"/>
    <mergeCell ref="BI56:BN56"/>
    <mergeCell ref="BO56:BT56"/>
    <mergeCell ref="BU56:BZ56"/>
    <mergeCell ref="AE57:AJ57"/>
    <mergeCell ref="AK57:AP57"/>
    <mergeCell ref="AQ57:AV57"/>
    <mergeCell ref="AW57:BB57"/>
    <mergeCell ref="F57:L57"/>
    <mergeCell ref="M57:R57"/>
    <mergeCell ref="S57:X57"/>
    <mergeCell ref="Y57:AD57"/>
    <mergeCell ref="CA57:CF57"/>
    <mergeCell ref="CG57:CL57"/>
    <mergeCell ref="CM57:CR57"/>
    <mergeCell ref="CS57:CX57"/>
    <mergeCell ref="BC57:BH57"/>
    <mergeCell ref="BI57:BN57"/>
    <mergeCell ref="BO57:BT57"/>
    <mergeCell ref="BU57:BZ57"/>
    <mergeCell ref="AE58:AJ58"/>
    <mergeCell ref="AK58:AP58"/>
    <mergeCell ref="AQ58:AV58"/>
    <mergeCell ref="AW58:BB58"/>
    <mergeCell ref="F58:L58"/>
    <mergeCell ref="M58:R58"/>
    <mergeCell ref="S58:X58"/>
    <mergeCell ref="Y58:AD58"/>
    <mergeCell ref="CA58:CF58"/>
    <mergeCell ref="CG58:CL58"/>
    <mergeCell ref="CM58:CR58"/>
    <mergeCell ref="CS58:CX58"/>
    <mergeCell ref="BC58:BH58"/>
    <mergeCell ref="BI58:BN58"/>
    <mergeCell ref="BO58:BT58"/>
    <mergeCell ref="BU58:BZ58"/>
    <mergeCell ref="AE59:AJ59"/>
    <mergeCell ref="AK59:AP59"/>
    <mergeCell ref="AQ59:AV59"/>
    <mergeCell ref="AW59:BB59"/>
    <mergeCell ref="F59:L59"/>
    <mergeCell ref="M59:R59"/>
    <mergeCell ref="S59:X59"/>
    <mergeCell ref="Y59:AD59"/>
    <mergeCell ref="CA59:CF59"/>
    <mergeCell ref="CG59:CL59"/>
    <mergeCell ref="CM59:CR59"/>
    <mergeCell ref="CS59:CX59"/>
    <mergeCell ref="BC59:BH59"/>
    <mergeCell ref="BI59:BN59"/>
    <mergeCell ref="BO59:BT59"/>
    <mergeCell ref="BU59:BZ59"/>
    <mergeCell ref="AE60:AJ60"/>
    <mergeCell ref="AK60:AP60"/>
    <mergeCell ref="AQ60:AV60"/>
    <mergeCell ref="AW60:BB60"/>
    <mergeCell ref="F60:L60"/>
    <mergeCell ref="M60:R60"/>
    <mergeCell ref="S60:X60"/>
    <mergeCell ref="Y60:AD60"/>
    <mergeCell ref="CA60:CF60"/>
    <mergeCell ref="CG60:CL60"/>
    <mergeCell ref="CM60:CR60"/>
    <mergeCell ref="CS60:CX60"/>
    <mergeCell ref="BC60:BH60"/>
    <mergeCell ref="BI60:BN60"/>
    <mergeCell ref="BO60:BT60"/>
    <mergeCell ref="BU60:BZ60"/>
    <mergeCell ref="AE61:AJ61"/>
    <mergeCell ref="AK61:AP61"/>
    <mergeCell ref="AQ61:AV61"/>
    <mergeCell ref="AW61:BB61"/>
    <mergeCell ref="F61:L61"/>
    <mergeCell ref="M61:R61"/>
    <mergeCell ref="S61:X61"/>
    <mergeCell ref="Y61:AD61"/>
    <mergeCell ref="CA61:CF61"/>
    <mergeCell ref="CG61:CL61"/>
    <mergeCell ref="CM61:CR61"/>
    <mergeCell ref="CS61:CX61"/>
    <mergeCell ref="BC61:BH61"/>
    <mergeCell ref="BI61:BN61"/>
    <mergeCell ref="BO61:BT61"/>
    <mergeCell ref="BU61:BZ61"/>
    <mergeCell ref="AE62:AJ62"/>
    <mergeCell ref="AK62:AP62"/>
    <mergeCell ref="AQ62:AV62"/>
    <mergeCell ref="AW62:BB62"/>
    <mergeCell ref="F62:L62"/>
    <mergeCell ref="M62:R62"/>
    <mergeCell ref="S62:X62"/>
    <mergeCell ref="Y62:AD62"/>
    <mergeCell ref="CA62:CF62"/>
    <mergeCell ref="CG62:CL62"/>
    <mergeCell ref="CM62:CR62"/>
    <mergeCell ref="CS62:CX62"/>
    <mergeCell ref="BC62:BH62"/>
    <mergeCell ref="BI62:BN62"/>
    <mergeCell ref="BO62:BT62"/>
    <mergeCell ref="BU62:BZ62"/>
    <mergeCell ref="AE63:AJ63"/>
    <mergeCell ref="AK63:AP63"/>
    <mergeCell ref="AQ63:AV63"/>
    <mergeCell ref="AW63:BB63"/>
    <mergeCell ref="F63:L63"/>
    <mergeCell ref="M63:R63"/>
    <mergeCell ref="S63:X63"/>
    <mergeCell ref="Y63:AD63"/>
    <mergeCell ref="CA63:CF63"/>
    <mergeCell ref="CG63:CL63"/>
    <mergeCell ref="CM63:CR63"/>
    <mergeCell ref="CS63:CX63"/>
    <mergeCell ref="BC63:BH63"/>
    <mergeCell ref="BI63:BN63"/>
    <mergeCell ref="BO63:BT63"/>
    <mergeCell ref="BU63:BZ63"/>
    <mergeCell ref="AE64:AJ64"/>
    <mergeCell ref="AK64:AP64"/>
    <mergeCell ref="AQ64:AV64"/>
    <mergeCell ref="AW64:BB64"/>
    <mergeCell ref="F64:L64"/>
    <mergeCell ref="M64:R64"/>
    <mergeCell ref="S64:X64"/>
    <mergeCell ref="Y64:AD64"/>
    <mergeCell ref="CA64:CF64"/>
    <mergeCell ref="CG64:CL64"/>
    <mergeCell ref="CM64:CR64"/>
    <mergeCell ref="CS64:CX64"/>
    <mergeCell ref="BC64:BH64"/>
    <mergeCell ref="BI64:BN64"/>
    <mergeCell ref="BO64:BT64"/>
    <mergeCell ref="BU64:BZ64"/>
    <mergeCell ref="AE65:AJ65"/>
    <mergeCell ref="AK65:AP65"/>
    <mergeCell ref="AQ65:AV65"/>
    <mergeCell ref="AW65:BB65"/>
    <mergeCell ref="F65:L65"/>
    <mergeCell ref="M65:R65"/>
    <mergeCell ref="S65:X65"/>
    <mergeCell ref="Y65:AD65"/>
    <mergeCell ref="CA65:CF65"/>
    <mergeCell ref="CG65:CL65"/>
    <mergeCell ref="CM65:CR65"/>
    <mergeCell ref="CS65:CX65"/>
    <mergeCell ref="BC65:BH65"/>
    <mergeCell ref="BI65:BN65"/>
    <mergeCell ref="BO65:BT65"/>
    <mergeCell ref="BU65:BZ65"/>
    <mergeCell ref="AE66:AJ66"/>
    <mergeCell ref="AK66:AP66"/>
    <mergeCell ref="AQ66:AV66"/>
    <mergeCell ref="AW66:BB66"/>
    <mergeCell ref="F66:L66"/>
    <mergeCell ref="M66:R66"/>
    <mergeCell ref="S66:X66"/>
    <mergeCell ref="Y66:AD66"/>
    <mergeCell ref="CA66:CF66"/>
    <mergeCell ref="CG66:CL66"/>
    <mergeCell ref="CM66:CR66"/>
    <mergeCell ref="CS66:CX66"/>
    <mergeCell ref="BC66:BH66"/>
    <mergeCell ref="BI66:BN66"/>
    <mergeCell ref="BO66:BT66"/>
    <mergeCell ref="BU66:BZ66"/>
    <mergeCell ref="AE67:AJ67"/>
    <mergeCell ref="AK67:AP67"/>
    <mergeCell ref="AQ67:AV67"/>
    <mergeCell ref="AW67:BB67"/>
    <mergeCell ref="F67:L67"/>
    <mergeCell ref="M67:R67"/>
    <mergeCell ref="S67:X67"/>
    <mergeCell ref="Y67:AD67"/>
    <mergeCell ref="CA67:CF67"/>
    <mergeCell ref="CG67:CL67"/>
    <mergeCell ref="CM67:CR67"/>
    <mergeCell ref="CS67:CX67"/>
    <mergeCell ref="BC67:BH67"/>
    <mergeCell ref="BI67:BN67"/>
    <mergeCell ref="BO67:BT67"/>
    <mergeCell ref="BU67:BZ67"/>
    <mergeCell ref="AE68:AJ68"/>
    <mergeCell ref="AK68:AP68"/>
    <mergeCell ref="AQ68:AV68"/>
    <mergeCell ref="AW68:BB68"/>
    <mergeCell ref="F68:L68"/>
    <mergeCell ref="M68:R68"/>
    <mergeCell ref="S68:X68"/>
    <mergeCell ref="Y68:AD68"/>
    <mergeCell ref="CA68:CF68"/>
    <mergeCell ref="CG68:CL68"/>
    <mergeCell ref="CM68:CR68"/>
    <mergeCell ref="CS68:CX68"/>
    <mergeCell ref="BC68:BH68"/>
    <mergeCell ref="BI68:BN68"/>
    <mergeCell ref="BO68:BT68"/>
    <mergeCell ref="BU68:BZ68"/>
    <mergeCell ref="AE69:AJ69"/>
    <mergeCell ref="AK69:AP69"/>
    <mergeCell ref="AQ69:AV69"/>
    <mergeCell ref="AW69:BB69"/>
    <mergeCell ref="F69:L69"/>
    <mergeCell ref="M69:R69"/>
    <mergeCell ref="S69:X69"/>
    <mergeCell ref="Y69:AD69"/>
    <mergeCell ref="CA69:CF69"/>
    <mergeCell ref="CG69:CL69"/>
    <mergeCell ref="CM69:CR69"/>
    <mergeCell ref="CS69:CX69"/>
    <mergeCell ref="BC69:BH69"/>
    <mergeCell ref="BI69:BN69"/>
    <mergeCell ref="BO69:BT69"/>
    <mergeCell ref="BU69:BZ69"/>
    <mergeCell ref="AE70:AJ70"/>
    <mergeCell ref="AK70:AP70"/>
    <mergeCell ref="AQ70:AV70"/>
    <mergeCell ref="AW70:BB70"/>
    <mergeCell ref="F70:L70"/>
    <mergeCell ref="M70:R70"/>
    <mergeCell ref="S70:X70"/>
    <mergeCell ref="Y70:AD70"/>
    <mergeCell ref="CA70:CF70"/>
    <mergeCell ref="CG70:CL70"/>
    <mergeCell ref="CM70:CR70"/>
    <mergeCell ref="CS70:CX70"/>
    <mergeCell ref="BC70:BH70"/>
    <mergeCell ref="BI70:BN70"/>
    <mergeCell ref="BO70:BT70"/>
    <mergeCell ref="BU70:BZ70"/>
    <mergeCell ref="AE71:AJ71"/>
    <mergeCell ref="AK71:AP71"/>
    <mergeCell ref="AQ71:AV71"/>
    <mergeCell ref="AW71:BB71"/>
    <mergeCell ref="F71:L71"/>
    <mergeCell ref="M71:R71"/>
    <mergeCell ref="S71:X71"/>
    <mergeCell ref="Y71:AD71"/>
    <mergeCell ref="CA71:CF71"/>
    <mergeCell ref="CG71:CL71"/>
    <mergeCell ref="CM71:CR71"/>
    <mergeCell ref="CS71:CX71"/>
    <mergeCell ref="BC71:BH71"/>
    <mergeCell ref="BI71:BN71"/>
    <mergeCell ref="BO71:BT71"/>
    <mergeCell ref="BU71:BZ71"/>
    <mergeCell ref="AE72:AJ72"/>
    <mergeCell ref="AK72:AP72"/>
    <mergeCell ref="AQ72:AV72"/>
    <mergeCell ref="AW72:BB72"/>
    <mergeCell ref="F72:L72"/>
    <mergeCell ref="M72:R72"/>
    <mergeCell ref="S72:X72"/>
    <mergeCell ref="Y72:AD72"/>
    <mergeCell ref="CA72:CF72"/>
    <mergeCell ref="CG72:CL72"/>
    <mergeCell ref="CM72:CR72"/>
    <mergeCell ref="CS72:CX72"/>
    <mergeCell ref="BC72:BH72"/>
    <mergeCell ref="BI72:BN72"/>
    <mergeCell ref="BO72:BT72"/>
    <mergeCell ref="BU72:BZ72"/>
    <mergeCell ref="AE73:AJ73"/>
    <mergeCell ref="AK73:AP73"/>
    <mergeCell ref="AQ73:AV73"/>
    <mergeCell ref="AW73:BB73"/>
    <mergeCell ref="F73:L73"/>
    <mergeCell ref="M73:R73"/>
    <mergeCell ref="S73:X73"/>
    <mergeCell ref="Y73:AD73"/>
    <mergeCell ref="CA73:CF73"/>
    <mergeCell ref="CG73:CL73"/>
    <mergeCell ref="CM73:CR73"/>
    <mergeCell ref="CS73:CX73"/>
    <mergeCell ref="BC73:BH73"/>
    <mergeCell ref="BI73:BN73"/>
    <mergeCell ref="BO73:BT73"/>
    <mergeCell ref="BU73:BZ73"/>
    <mergeCell ref="AE74:AJ74"/>
    <mergeCell ref="AK74:AP74"/>
    <mergeCell ref="AQ74:AV74"/>
    <mergeCell ref="AW74:BB74"/>
    <mergeCell ref="F74:L74"/>
    <mergeCell ref="M74:R74"/>
    <mergeCell ref="S74:X74"/>
    <mergeCell ref="Y74:AD74"/>
    <mergeCell ref="CA74:CF74"/>
    <mergeCell ref="CG74:CL74"/>
    <mergeCell ref="CM74:CR74"/>
    <mergeCell ref="CS74:CX74"/>
    <mergeCell ref="BC74:BH74"/>
    <mergeCell ref="BI74:BN74"/>
    <mergeCell ref="BO74:BT74"/>
    <mergeCell ref="BU74:BZ74"/>
    <mergeCell ref="AE75:AJ75"/>
    <mergeCell ref="AK75:AP75"/>
    <mergeCell ref="AQ75:AV75"/>
    <mergeCell ref="AW75:BB75"/>
    <mergeCell ref="F75:L75"/>
    <mergeCell ref="M75:R75"/>
    <mergeCell ref="S75:X75"/>
    <mergeCell ref="Y75:AD75"/>
    <mergeCell ref="CA75:CF75"/>
    <mergeCell ref="CG75:CL75"/>
    <mergeCell ref="CM75:CR75"/>
    <mergeCell ref="CS75:CX75"/>
    <mergeCell ref="BC75:BH75"/>
    <mergeCell ref="BI75:BN75"/>
    <mergeCell ref="BO75:BT75"/>
    <mergeCell ref="BU75:BZ75"/>
    <mergeCell ref="F76:L76"/>
    <mergeCell ref="F77:L77"/>
    <mergeCell ref="D78:CX78"/>
    <mergeCell ref="F79:L79"/>
    <mergeCell ref="M79:R79"/>
    <mergeCell ref="S79:X79"/>
    <mergeCell ref="Y79:AD79"/>
    <mergeCell ref="AE79:AJ79"/>
    <mergeCell ref="AK79:AP79"/>
    <mergeCell ref="AQ79:AV79"/>
    <mergeCell ref="CG79:CL79"/>
    <mergeCell ref="CM79:CR79"/>
    <mergeCell ref="AW79:BB79"/>
    <mergeCell ref="BC79:BH79"/>
    <mergeCell ref="BI79:BN79"/>
    <mergeCell ref="BO79:BT79"/>
    <mergeCell ref="AK80:AP80"/>
    <mergeCell ref="AQ80:AV80"/>
    <mergeCell ref="AW80:BB80"/>
    <mergeCell ref="BC80:BH80"/>
    <mergeCell ref="BU79:BZ79"/>
    <mergeCell ref="CA79:CF79"/>
    <mergeCell ref="BI80:BN80"/>
    <mergeCell ref="BO80:BT80"/>
    <mergeCell ref="BU80:BZ80"/>
    <mergeCell ref="CA80:CF80"/>
    <mergeCell ref="CS79:CX79"/>
    <mergeCell ref="F80:L80"/>
    <mergeCell ref="M80:R80"/>
    <mergeCell ref="S80:X80"/>
    <mergeCell ref="Y80:AD80"/>
    <mergeCell ref="AE80:AJ80"/>
    <mergeCell ref="CG80:CL80"/>
    <mergeCell ref="CM80:CR80"/>
    <mergeCell ref="CS80:CX80"/>
    <mergeCell ref="F81:L81"/>
    <mergeCell ref="M81:R81"/>
    <mergeCell ref="S81:X81"/>
    <mergeCell ref="Y81:AD81"/>
    <mergeCell ref="AE81:AJ81"/>
    <mergeCell ref="AK81:AP81"/>
    <mergeCell ref="AQ81:AV81"/>
    <mergeCell ref="CG81:CL81"/>
    <mergeCell ref="CM81:CR81"/>
    <mergeCell ref="AW81:BB81"/>
    <mergeCell ref="BC81:BH81"/>
    <mergeCell ref="BI81:BN81"/>
    <mergeCell ref="BO81:BT81"/>
    <mergeCell ref="AK82:AP82"/>
    <mergeCell ref="AQ82:AV82"/>
    <mergeCell ref="AW82:BB82"/>
    <mergeCell ref="BC82:BH82"/>
    <mergeCell ref="BU81:BZ81"/>
    <mergeCell ref="CA81:CF81"/>
    <mergeCell ref="BI82:BN82"/>
    <mergeCell ref="BO82:BT82"/>
    <mergeCell ref="BU82:BZ82"/>
    <mergeCell ref="CA82:CF82"/>
    <mergeCell ref="CS81:CX81"/>
    <mergeCell ref="F82:L82"/>
    <mergeCell ref="M82:R82"/>
    <mergeCell ref="S82:X82"/>
    <mergeCell ref="Y82:AD82"/>
    <mergeCell ref="AE82:AJ82"/>
    <mergeCell ref="CG82:CL82"/>
    <mergeCell ref="CM82:CR82"/>
    <mergeCell ref="CS82:CX82"/>
    <mergeCell ref="F83:L83"/>
    <mergeCell ref="M83:R83"/>
    <mergeCell ref="S83:X83"/>
    <mergeCell ref="Y83:AD83"/>
    <mergeCell ref="AE83:AJ83"/>
    <mergeCell ref="AK83:AP83"/>
    <mergeCell ref="AQ83:AV83"/>
    <mergeCell ref="CG83:CL83"/>
    <mergeCell ref="CM83:CR83"/>
    <mergeCell ref="AW83:BB83"/>
    <mergeCell ref="BC83:BH83"/>
    <mergeCell ref="BI83:BN83"/>
    <mergeCell ref="BO83:BT83"/>
    <mergeCell ref="AK84:AP84"/>
    <mergeCell ref="AQ84:AV84"/>
    <mergeCell ref="AW84:BB84"/>
    <mergeCell ref="BC84:BH84"/>
    <mergeCell ref="BU83:BZ83"/>
    <mergeCell ref="CA83:CF83"/>
    <mergeCell ref="BI84:BN84"/>
    <mergeCell ref="BO84:BT84"/>
    <mergeCell ref="BU84:BZ84"/>
    <mergeCell ref="CA84:CF84"/>
    <mergeCell ref="CS83:CX83"/>
    <mergeCell ref="F84:L84"/>
    <mergeCell ref="M84:R84"/>
    <mergeCell ref="S84:X84"/>
    <mergeCell ref="Y84:AD84"/>
    <mergeCell ref="AE84:AJ84"/>
    <mergeCell ref="CG84:CL84"/>
    <mergeCell ref="CM84:CR84"/>
    <mergeCell ref="CS84:CX84"/>
    <mergeCell ref="F85:L85"/>
    <mergeCell ref="M85:R85"/>
    <mergeCell ref="S85:X85"/>
    <mergeCell ref="Y85:AD85"/>
    <mergeCell ref="AE85:AJ85"/>
    <mergeCell ref="AK85:AP85"/>
    <mergeCell ref="AQ85:AV85"/>
    <mergeCell ref="CG85:CL85"/>
    <mergeCell ref="CM85:CR85"/>
    <mergeCell ref="AW85:BB85"/>
    <mergeCell ref="BC85:BH85"/>
    <mergeCell ref="BI85:BN85"/>
    <mergeCell ref="BO85:BT85"/>
    <mergeCell ref="AK86:AP86"/>
    <mergeCell ref="AQ86:AV86"/>
    <mergeCell ref="AW86:BB86"/>
    <mergeCell ref="BC86:BH86"/>
    <mergeCell ref="BU85:BZ85"/>
    <mergeCell ref="CA85:CF85"/>
    <mergeCell ref="BI86:BN86"/>
    <mergeCell ref="BO86:BT86"/>
    <mergeCell ref="BU86:BZ86"/>
    <mergeCell ref="CA86:CF86"/>
    <mergeCell ref="CS85:CX85"/>
    <mergeCell ref="F86:L86"/>
    <mergeCell ref="M86:R86"/>
    <mergeCell ref="S86:X86"/>
    <mergeCell ref="Y86:AD86"/>
    <mergeCell ref="AE86:AJ86"/>
    <mergeCell ref="CG86:CL86"/>
    <mergeCell ref="CM86:CR86"/>
    <mergeCell ref="CS86:CX86"/>
    <mergeCell ref="F87:L87"/>
    <mergeCell ref="M87:R87"/>
    <mergeCell ref="S87:X87"/>
    <mergeCell ref="Y87:AD87"/>
    <mergeCell ref="AE87:AJ87"/>
    <mergeCell ref="AK87:AP87"/>
    <mergeCell ref="AQ87:AV87"/>
    <mergeCell ref="CG87:CL87"/>
    <mergeCell ref="CM87:CR87"/>
    <mergeCell ref="AW87:BB87"/>
    <mergeCell ref="BC87:BH87"/>
    <mergeCell ref="BI87:BN87"/>
    <mergeCell ref="BO87:BT87"/>
    <mergeCell ref="AK88:AP88"/>
    <mergeCell ref="AQ88:AV88"/>
    <mergeCell ref="AW88:BB88"/>
    <mergeCell ref="BC88:BH88"/>
    <mergeCell ref="BU87:BZ87"/>
    <mergeCell ref="CA87:CF87"/>
    <mergeCell ref="BI88:BN88"/>
    <mergeCell ref="BO88:BT88"/>
    <mergeCell ref="BU88:BZ88"/>
    <mergeCell ref="CA88:CF88"/>
    <mergeCell ref="CS87:CX87"/>
    <mergeCell ref="F88:L88"/>
    <mergeCell ref="M88:R88"/>
    <mergeCell ref="S88:X88"/>
    <mergeCell ref="Y88:AD88"/>
    <mergeCell ref="AE88:AJ88"/>
    <mergeCell ref="CG88:CL88"/>
    <mergeCell ref="CM88:CR88"/>
    <mergeCell ref="CS88:CX88"/>
    <mergeCell ref="F89:L89"/>
    <mergeCell ref="M89:R89"/>
    <mergeCell ref="S89:X89"/>
    <mergeCell ref="Y89:AD89"/>
    <mergeCell ref="AE89:AJ89"/>
    <mergeCell ref="AK89:AP89"/>
    <mergeCell ref="AQ89:AV89"/>
    <mergeCell ref="CG89:CL89"/>
    <mergeCell ref="CM89:CR89"/>
    <mergeCell ref="AW89:BB89"/>
    <mergeCell ref="BC89:BH89"/>
    <mergeCell ref="BI89:BN89"/>
    <mergeCell ref="BO89:BT89"/>
    <mergeCell ref="AK90:AP90"/>
    <mergeCell ref="AQ90:AV90"/>
    <mergeCell ref="AW90:BB90"/>
    <mergeCell ref="BC90:BH90"/>
    <mergeCell ref="BU89:BZ89"/>
    <mergeCell ref="CA89:CF89"/>
    <mergeCell ref="BI90:BN90"/>
    <mergeCell ref="BO90:BT90"/>
    <mergeCell ref="BU90:BZ90"/>
    <mergeCell ref="CA90:CF90"/>
    <mergeCell ref="CS89:CX89"/>
    <mergeCell ref="F90:L90"/>
    <mergeCell ref="M90:R90"/>
    <mergeCell ref="S90:X90"/>
    <mergeCell ref="Y90:AD90"/>
    <mergeCell ref="AE90:AJ90"/>
    <mergeCell ref="CG90:CL90"/>
    <mergeCell ref="CM90:CR90"/>
    <mergeCell ref="CS90:CX90"/>
    <mergeCell ref="F91:L91"/>
    <mergeCell ref="M91:R91"/>
    <mergeCell ref="S91:X91"/>
    <mergeCell ref="Y91:AD91"/>
    <mergeCell ref="AE91:AJ91"/>
    <mergeCell ref="AK91:AP91"/>
    <mergeCell ref="AQ91:AV91"/>
    <mergeCell ref="CG91:CL91"/>
    <mergeCell ref="CM91:CR91"/>
    <mergeCell ref="AW91:BB91"/>
    <mergeCell ref="BC91:BH91"/>
    <mergeCell ref="BI91:BN91"/>
    <mergeCell ref="BO91:BT91"/>
    <mergeCell ref="AK92:AP92"/>
    <mergeCell ref="AQ92:AV92"/>
    <mergeCell ref="AW92:BB92"/>
    <mergeCell ref="BC92:BH92"/>
    <mergeCell ref="BU91:BZ91"/>
    <mergeCell ref="CA91:CF91"/>
    <mergeCell ref="AK93:AP93"/>
    <mergeCell ref="AQ93:AV93"/>
    <mergeCell ref="BI92:BN92"/>
    <mergeCell ref="BO92:BT92"/>
    <mergeCell ref="CS91:CX91"/>
    <mergeCell ref="F92:L92"/>
    <mergeCell ref="M92:R92"/>
    <mergeCell ref="S92:X92"/>
    <mergeCell ref="Y92:AD92"/>
    <mergeCell ref="AE92:AJ92"/>
    <mergeCell ref="CG92:CL92"/>
    <mergeCell ref="CM92:CR92"/>
    <mergeCell ref="BU92:BZ92"/>
    <mergeCell ref="CA92:CF92"/>
    <mergeCell ref="CS92:CX92"/>
    <mergeCell ref="F93:L93"/>
    <mergeCell ref="M93:R93"/>
    <mergeCell ref="S93:X93"/>
    <mergeCell ref="Y93:AD93"/>
    <mergeCell ref="AE93:AJ93"/>
    <mergeCell ref="CG93:CL93"/>
    <mergeCell ref="CM93:CR93"/>
    <mergeCell ref="AW93:BB93"/>
    <mergeCell ref="BC93:BH93"/>
    <mergeCell ref="BI93:BN93"/>
    <mergeCell ref="BO93:BT93"/>
    <mergeCell ref="F97:L97"/>
    <mergeCell ref="F98:L98"/>
    <mergeCell ref="F99:L99"/>
    <mergeCell ref="F100:L100"/>
    <mergeCell ref="CS93:CX93"/>
    <mergeCell ref="F94:L94"/>
    <mergeCell ref="F95:L95"/>
    <mergeCell ref="F96:L96"/>
    <mergeCell ref="BU93:BZ93"/>
    <mergeCell ref="CA93:CF93"/>
    <mergeCell ref="F105:L105"/>
    <mergeCell ref="F106:L106"/>
    <mergeCell ref="F107:L107"/>
    <mergeCell ref="F108:L108"/>
    <mergeCell ref="F101:L101"/>
    <mergeCell ref="F102:L102"/>
    <mergeCell ref="F103:L103"/>
    <mergeCell ref="F104:L104"/>
    <mergeCell ref="F113:L113"/>
    <mergeCell ref="F114:L114"/>
    <mergeCell ref="F115:L115"/>
    <mergeCell ref="F116:L116"/>
    <mergeCell ref="F109:L109"/>
    <mergeCell ref="F110:L110"/>
    <mergeCell ref="F111:L111"/>
    <mergeCell ref="F112:L112"/>
    <mergeCell ref="F121:L121"/>
    <mergeCell ref="F122:L122"/>
    <mergeCell ref="F123:L123"/>
    <mergeCell ref="F124:L124"/>
    <mergeCell ref="F117:L117"/>
    <mergeCell ref="F118:L118"/>
    <mergeCell ref="F119:L119"/>
    <mergeCell ref="F120:L120"/>
    <mergeCell ref="F129:L129"/>
    <mergeCell ref="F130:L130"/>
    <mergeCell ref="F131:L131"/>
    <mergeCell ref="F132:L132"/>
    <mergeCell ref="F125:L125"/>
    <mergeCell ref="F126:L126"/>
    <mergeCell ref="F127:L127"/>
    <mergeCell ref="F128:L128"/>
    <mergeCell ref="F137:L137"/>
    <mergeCell ref="F138:L138"/>
    <mergeCell ref="F139:L139"/>
    <mergeCell ref="F140:L140"/>
    <mergeCell ref="F133:L133"/>
    <mergeCell ref="F134:L134"/>
    <mergeCell ref="F135:L135"/>
    <mergeCell ref="F136:L136"/>
    <mergeCell ref="F145:L145"/>
    <mergeCell ref="F146:L146"/>
    <mergeCell ref="F147:L147"/>
    <mergeCell ref="F148:L148"/>
    <mergeCell ref="F141:L141"/>
    <mergeCell ref="F142:L142"/>
    <mergeCell ref="F143:L143"/>
    <mergeCell ref="F144:L144"/>
    <mergeCell ref="F153:L153"/>
    <mergeCell ref="F154:L154"/>
    <mergeCell ref="F155:L155"/>
    <mergeCell ref="F156:L156"/>
    <mergeCell ref="F149:L149"/>
    <mergeCell ref="F150:L150"/>
    <mergeCell ref="F151:L151"/>
    <mergeCell ref="F152:L152"/>
    <mergeCell ref="F161:L161"/>
    <mergeCell ref="F162:L162"/>
    <mergeCell ref="F163:L163"/>
    <mergeCell ref="F164:L164"/>
    <mergeCell ref="F157:L157"/>
    <mergeCell ref="F158:L158"/>
    <mergeCell ref="F159:L159"/>
    <mergeCell ref="F160:L160"/>
    <mergeCell ref="F169:L169"/>
    <mergeCell ref="F170:L170"/>
    <mergeCell ref="F171:L171"/>
    <mergeCell ref="F172:L172"/>
    <mergeCell ref="F165:L165"/>
    <mergeCell ref="F166:L166"/>
    <mergeCell ref="F167:L167"/>
    <mergeCell ref="F168:L168"/>
    <mergeCell ref="F177:L177"/>
    <mergeCell ref="F178:L178"/>
    <mergeCell ref="F179:L179"/>
    <mergeCell ref="F180:L180"/>
    <mergeCell ref="F173:L173"/>
    <mergeCell ref="F174:L174"/>
    <mergeCell ref="F175:L175"/>
    <mergeCell ref="F176:L176"/>
    <mergeCell ref="F185:L185"/>
    <mergeCell ref="F186:L186"/>
    <mergeCell ref="F187:L187"/>
    <mergeCell ref="F188:L188"/>
    <mergeCell ref="F181:L181"/>
    <mergeCell ref="F182:L182"/>
    <mergeCell ref="F183:L183"/>
    <mergeCell ref="F184:L184"/>
    <mergeCell ref="F193:L193"/>
    <mergeCell ref="F194:L194"/>
    <mergeCell ref="F195:L195"/>
    <mergeCell ref="F196:L196"/>
    <mergeCell ref="F189:L189"/>
    <mergeCell ref="F190:L190"/>
    <mergeCell ref="F191:L191"/>
    <mergeCell ref="F192:L192"/>
    <mergeCell ref="F201:L201"/>
    <mergeCell ref="F202:L202"/>
    <mergeCell ref="F203:L203"/>
    <mergeCell ref="F204:L204"/>
    <mergeCell ref="F197:L197"/>
    <mergeCell ref="F198:L198"/>
    <mergeCell ref="F199:L199"/>
    <mergeCell ref="F200:L200"/>
    <mergeCell ref="F209:L209"/>
    <mergeCell ref="F210:L210"/>
    <mergeCell ref="F211:L211"/>
    <mergeCell ref="F212:L212"/>
    <mergeCell ref="F205:L205"/>
    <mergeCell ref="F206:L206"/>
    <mergeCell ref="F207:L207"/>
    <mergeCell ref="F208:L208"/>
    <mergeCell ref="F217:L217"/>
    <mergeCell ref="F218:L218"/>
    <mergeCell ref="F219:L219"/>
    <mergeCell ref="F220:L220"/>
    <mergeCell ref="F213:L213"/>
    <mergeCell ref="F214:L214"/>
    <mergeCell ref="F215:L215"/>
    <mergeCell ref="F216:L216"/>
    <mergeCell ref="F225:L225"/>
    <mergeCell ref="F226:L226"/>
    <mergeCell ref="F227:L227"/>
    <mergeCell ref="F228:L228"/>
    <mergeCell ref="F221:L221"/>
    <mergeCell ref="F222:L222"/>
    <mergeCell ref="F223:L223"/>
    <mergeCell ref="F224:L224"/>
    <mergeCell ref="F233:L233"/>
    <mergeCell ref="F234:L234"/>
    <mergeCell ref="F235:L235"/>
    <mergeCell ref="F236:L236"/>
    <mergeCell ref="F229:L229"/>
    <mergeCell ref="F230:L230"/>
    <mergeCell ref="F231:L231"/>
    <mergeCell ref="F232:L232"/>
    <mergeCell ref="F241:L241"/>
    <mergeCell ref="F242:L242"/>
    <mergeCell ref="F243:L243"/>
    <mergeCell ref="F244:L244"/>
    <mergeCell ref="F237:L237"/>
    <mergeCell ref="F238:L238"/>
    <mergeCell ref="F239:L239"/>
    <mergeCell ref="F240:L240"/>
    <mergeCell ref="F249:L249"/>
    <mergeCell ref="F250:L250"/>
    <mergeCell ref="F251:L251"/>
    <mergeCell ref="F252:L252"/>
    <mergeCell ref="F245:L245"/>
    <mergeCell ref="F246:L246"/>
    <mergeCell ref="F247:L247"/>
    <mergeCell ref="F248:L248"/>
    <mergeCell ref="F257:L257"/>
    <mergeCell ref="F258:L258"/>
    <mergeCell ref="F259:L259"/>
    <mergeCell ref="F260:L260"/>
    <mergeCell ref="F253:L253"/>
    <mergeCell ref="F254:L254"/>
    <mergeCell ref="F255:L255"/>
    <mergeCell ref="F256:L256"/>
    <mergeCell ref="F265:L265"/>
    <mergeCell ref="F266:L266"/>
    <mergeCell ref="F267:L267"/>
    <mergeCell ref="F268:L268"/>
    <mergeCell ref="F261:L261"/>
    <mergeCell ref="F262:L262"/>
    <mergeCell ref="F263:L263"/>
    <mergeCell ref="F264:L264"/>
    <mergeCell ref="F273:L273"/>
    <mergeCell ref="F274:L274"/>
    <mergeCell ref="F275:L275"/>
    <mergeCell ref="F276:L276"/>
    <mergeCell ref="F269:L269"/>
    <mergeCell ref="F270:L270"/>
    <mergeCell ref="F271:L271"/>
    <mergeCell ref="F272:L272"/>
    <mergeCell ref="F281:L281"/>
    <mergeCell ref="F282:L282"/>
    <mergeCell ref="F283:L283"/>
    <mergeCell ref="F284:L284"/>
    <mergeCell ref="F277:L277"/>
    <mergeCell ref="F278:L278"/>
    <mergeCell ref="F279:L279"/>
    <mergeCell ref="F280:L280"/>
    <mergeCell ref="F289:L289"/>
    <mergeCell ref="F290:L290"/>
    <mergeCell ref="F291:L291"/>
    <mergeCell ref="F292:L292"/>
    <mergeCell ref="F285:L285"/>
    <mergeCell ref="F286:L286"/>
    <mergeCell ref="F287:L287"/>
    <mergeCell ref="F288:L288"/>
    <mergeCell ref="F314:L314"/>
    <mergeCell ref="F299:L299"/>
    <mergeCell ref="F300:L300"/>
    <mergeCell ref="F293:L293"/>
    <mergeCell ref="F294:L294"/>
    <mergeCell ref="F295:L295"/>
    <mergeCell ref="F296:L296"/>
    <mergeCell ref="F305:L305"/>
    <mergeCell ref="F306:L306"/>
    <mergeCell ref="F307:L307"/>
    <mergeCell ref="F308:L308"/>
    <mergeCell ref="F315:L315"/>
    <mergeCell ref="F316:L316"/>
    <mergeCell ref="F309:L309"/>
    <mergeCell ref="F310:L310"/>
    <mergeCell ref="F311:L311"/>
    <mergeCell ref="F312:L312"/>
    <mergeCell ref="CY75:DE75"/>
    <mergeCell ref="J51:L52"/>
    <mergeCell ref="G54:J55"/>
    <mergeCell ref="F313:L313"/>
    <mergeCell ref="F301:L301"/>
    <mergeCell ref="F302:L302"/>
    <mergeCell ref="F303:L303"/>
    <mergeCell ref="F304:L304"/>
    <mergeCell ref="F297:L297"/>
    <mergeCell ref="F298:L298"/>
    <mergeCell ref="D26:J27"/>
    <mergeCell ref="D29:J30"/>
    <mergeCell ref="D32:J33"/>
    <mergeCell ref="B2:C3"/>
    <mergeCell ref="B5:C6"/>
    <mergeCell ref="B8:C9"/>
    <mergeCell ref="B11:C12"/>
    <mergeCell ref="DE8:DE9"/>
    <mergeCell ref="CY11:CY12"/>
    <mergeCell ref="CZ11:DD12"/>
    <mergeCell ref="DE11:DE12"/>
    <mergeCell ref="CY2:DE3"/>
    <mergeCell ref="CY5:CY6"/>
    <mergeCell ref="CZ5:DD6"/>
    <mergeCell ref="DE5:DE6"/>
    <mergeCell ref="CY14:CY15"/>
    <mergeCell ref="CZ14:DD15"/>
    <mergeCell ref="CY17:CY18"/>
    <mergeCell ref="CZ17:DD18"/>
    <mergeCell ref="CY8:CY9"/>
    <mergeCell ref="CZ8:DD9"/>
    <mergeCell ref="CY26:CY27"/>
    <mergeCell ref="CZ26:DD27"/>
    <mergeCell ref="CY29:CY30"/>
    <mergeCell ref="CZ29:DD30"/>
    <mergeCell ref="CY20:CY21"/>
    <mergeCell ref="CZ20:DD21"/>
    <mergeCell ref="CY23:CY24"/>
    <mergeCell ref="CZ23:DD24"/>
    <mergeCell ref="CY32:CY33"/>
    <mergeCell ref="CZ32:DD33"/>
    <mergeCell ref="D2:J3"/>
    <mergeCell ref="D5:J6"/>
    <mergeCell ref="D8:J9"/>
    <mergeCell ref="D11:J12"/>
    <mergeCell ref="D14:J15"/>
    <mergeCell ref="D17:J18"/>
    <mergeCell ref="D20:J21"/>
    <mergeCell ref="D23:J24"/>
  </mergeCells>
  <phoneticPr fontId="1" type="noConversion"/>
  <conditionalFormatting sqref="M73 S73 Y73 AE73 AK73 AQ73 AW73 BC73 BI73 BO73 BU73 CA73 CG73 CM73 CS73">
    <cfRule type="expression" dxfId="32" priority="1" stopIfTrue="1">
      <formula>AND(NOT(ISBLANK(M$49)), M$73 &lt;=0)</formula>
    </cfRule>
    <cfRule type="cellIs" dxfId="31" priority="2" stopIfTrue="1" operator="equal">
      <formula>1</formula>
    </cfRule>
  </conditionalFormatting>
  <conditionalFormatting sqref="C56:C70">
    <cfRule type="expression" dxfId="30" priority="3" stopIfTrue="1">
      <formula>AND($F56&lt;&gt;"", $C56&lt;=0)</formula>
    </cfRule>
    <cfRule type="cellIs" dxfId="29" priority="4" stopIfTrue="1" operator="equal">
      <formula>1</formula>
    </cfRule>
  </conditionalFormatting>
  <conditionalFormatting sqref="M94:CX316 M76:CX77">
    <cfRule type="expression" dxfId="28" priority="5" stopIfTrue="1">
      <formula>AND(ISNUMBER(#REF!), ISNUMBER(#REF!))</formula>
    </cfRule>
  </conditionalFormatting>
  <conditionalFormatting sqref="M74:CX74">
    <cfRule type="expression" dxfId="27" priority="6" stopIfTrue="1">
      <formula>ISNUMBER(#REF!)</formula>
    </cfRule>
  </conditionalFormatting>
  <conditionalFormatting sqref="BU71:BU72 CA71:CA72 CG71:CG72 BO71:BO72 AW71:AW72 BC71:BC72 BI71:BI72 AQ71:AQ72 Y71:Y72 AE71:AE72 AK71:AK72 M71:S72 CS71:CS72 CM71:CM72">
    <cfRule type="expression" dxfId="26" priority="7" stopIfTrue="1">
      <formula>ISNUMBER(#REF!)</formula>
    </cfRule>
  </conditionalFormatting>
  <conditionalFormatting sqref="F76:L77 F94:L316">
    <cfRule type="expression" dxfId="25" priority="8" stopIfTrue="1">
      <formula>ISNUMBER(#REF!)</formula>
    </cfRule>
  </conditionalFormatting>
  <conditionalFormatting sqref="B94:E316 B76:C78 D76:E77">
    <cfRule type="expression" dxfId="24" priority="9" stopIfTrue="1">
      <formula>ISNUMBER(#REF!)</formula>
    </cfRule>
    <cfRule type="expression" dxfId="23" priority="10" stopIfTrue="1">
      <formula>NOT(ISNUMBER(#REF!))</formula>
    </cfRule>
  </conditionalFormatting>
  <conditionalFormatting sqref="M75:CX75">
    <cfRule type="expression" dxfId="22"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2FED74BF-F9E0-44DF-AEB0-175A1B93161E}">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83AF378F-C9CA-498A-811F-9AED04F8B436}">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2CBDFFEC-E283-4D14-8DD2-1C742CDFBE78}">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5F2E1708-93F0-4018-A040-59E0075D9943}">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2055-16AC-4EC1-BE61-FA63E3CFBB79}">
  <dimension ref="A1:DI316"/>
  <sheetViews>
    <sheetView zoomScale="63" zoomScaleNormal="63" zoomScaleSheetLayoutView="63" workbookViewId="0">
      <selection activeCell="D2" sqref="D2:J3"/>
    </sheetView>
  </sheetViews>
  <sheetFormatPr baseColWidth="10" defaultColWidth="5" defaultRowHeight="10" x14ac:dyDescent="0.2"/>
  <cols>
    <col min="1" max="1" width="4.453125" style="3" customWidth="1"/>
    <col min="2" max="2" width="3.26953125" style="4" customWidth="1"/>
    <col min="3" max="3" width="4.453125" style="4" customWidth="1"/>
    <col min="4" max="5" width="5.453125" style="41" customWidth="1"/>
    <col min="6" max="12" width="8" style="5" customWidth="1"/>
    <col min="13" max="102" width="1" style="3" customWidth="1"/>
    <col min="103" max="109" width="5.26953125" style="3" customWidth="1"/>
    <col min="110" max="110" width="4.81640625" style="3" customWidth="1"/>
    <col min="111" max="16384" width="5" style="3"/>
  </cols>
  <sheetData>
    <row r="1" spans="1:111" x14ac:dyDescent="0.2">
      <c r="A1" s="17"/>
      <c r="B1" s="116"/>
      <c r="C1" s="116"/>
      <c r="D1" s="117"/>
      <c r="E1" s="117"/>
      <c r="F1" s="118"/>
      <c r="G1" s="118"/>
      <c r="H1" s="121"/>
      <c r="I1" s="121"/>
      <c r="J1" s="121"/>
      <c r="K1" s="121"/>
      <c r="L1" s="121"/>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7"/>
      <c r="DA1" s="17"/>
      <c r="DB1" s="17"/>
      <c r="DC1" s="17"/>
      <c r="DD1" s="17"/>
      <c r="DE1" s="17"/>
      <c r="DF1" s="17"/>
    </row>
    <row r="2" spans="1:111" s="65" customFormat="1" ht="6" customHeight="1" x14ac:dyDescent="0.25">
      <c r="A2" s="51"/>
      <c r="B2" s="154" t="s">
        <v>51</v>
      </c>
      <c r="C2" s="154"/>
      <c r="D2" s="143"/>
      <c r="E2" s="143"/>
      <c r="F2" s="143"/>
      <c r="G2" s="143"/>
      <c r="H2" s="143"/>
      <c r="I2" s="143"/>
      <c r="J2" s="143"/>
      <c r="K2" s="114"/>
      <c r="L2" s="114"/>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145" t="s">
        <v>37</v>
      </c>
      <c r="CZ2" s="146"/>
      <c r="DA2" s="146"/>
      <c r="DB2" s="146"/>
      <c r="DC2" s="146"/>
      <c r="DD2" s="146"/>
      <c r="DE2" s="147"/>
      <c r="DF2" s="51"/>
    </row>
    <row r="3" spans="1:111" s="65" customFormat="1" ht="6" customHeight="1" x14ac:dyDescent="0.25">
      <c r="A3" s="51"/>
      <c r="B3" s="154"/>
      <c r="C3" s="154"/>
      <c r="D3" s="144"/>
      <c r="E3" s="144"/>
      <c r="F3" s="144"/>
      <c r="G3" s="144"/>
      <c r="H3" s="144"/>
      <c r="I3" s="144"/>
      <c r="J3" s="144"/>
      <c r="K3" s="114"/>
      <c r="L3" s="114"/>
      <c r="M3" s="123"/>
      <c r="N3" s="123"/>
      <c r="O3" s="123"/>
      <c r="P3" s="123"/>
      <c r="Q3" s="123"/>
      <c r="R3" s="123"/>
      <c r="S3" s="123"/>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148"/>
      <c r="CZ3" s="149"/>
      <c r="DA3" s="149"/>
      <c r="DB3" s="149"/>
      <c r="DC3" s="149"/>
      <c r="DD3" s="149"/>
      <c r="DE3" s="150"/>
      <c r="DF3" s="54"/>
      <c r="DG3" s="79"/>
    </row>
    <row r="4" spans="1:111" s="65" customFormat="1" ht="6" customHeight="1" x14ac:dyDescent="0.25">
      <c r="A4" s="51"/>
      <c r="B4" s="89"/>
      <c r="C4" s="91"/>
      <c r="D4" s="92"/>
      <c r="E4" s="93"/>
      <c r="F4" s="93"/>
      <c r="G4" s="120"/>
      <c r="H4" s="114"/>
      <c r="I4" s="114"/>
      <c r="J4" s="114"/>
      <c r="K4" s="114"/>
      <c r="L4" s="114"/>
      <c r="M4" s="123"/>
      <c r="N4" s="123"/>
      <c r="O4" s="123"/>
      <c r="P4" s="123"/>
      <c r="Q4" s="123"/>
      <c r="R4" s="123"/>
      <c r="S4" s="123"/>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189"/>
      <c r="BE4" s="189"/>
      <c r="BF4" s="189"/>
      <c r="BG4" s="189"/>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55"/>
      <c r="CZ4" s="53"/>
      <c r="DA4" s="53"/>
      <c r="DB4" s="53"/>
      <c r="DC4" s="53"/>
      <c r="DD4" s="53"/>
      <c r="DE4" s="56"/>
      <c r="DF4" s="54"/>
      <c r="DG4" s="79"/>
    </row>
    <row r="5" spans="1:111" s="65" customFormat="1" ht="6" customHeight="1" x14ac:dyDescent="0.25">
      <c r="A5" s="51"/>
      <c r="B5" s="154" t="s">
        <v>52</v>
      </c>
      <c r="C5" s="154"/>
      <c r="D5" s="143"/>
      <c r="E5" s="143"/>
      <c r="F5" s="143"/>
      <c r="G5" s="143"/>
      <c r="H5" s="143"/>
      <c r="I5" s="143"/>
      <c r="J5" s="143"/>
      <c r="K5" s="114"/>
      <c r="L5" s="114"/>
      <c r="M5" s="123"/>
      <c r="N5" s="123"/>
      <c r="O5" s="123"/>
      <c r="P5" s="123"/>
      <c r="Q5" s="123"/>
      <c r="R5" s="123"/>
      <c r="S5" s="123"/>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189"/>
      <c r="BE5" s="189"/>
      <c r="BF5" s="189"/>
      <c r="BG5" s="189"/>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151" t="s">
        <v>33</v>
      </c>
      <c r="CZ5" s="152" t="s">
        <v>42</v>
      </c>
      <c r="DA5" s="152"/>
      <c r="DB5" s="152"/>
      <c r="DC5" s="152"/>
      <c r="DD5" s="152"/>
      <c r="DE5" s="153">
        <v>9</v>
      </c>
      <c r="DF5" s="53"/>
      <c r="DG5" s="79"/>
    </row>
    <row r="6" spans="1:111" s="65" customFormat="1" ht="6" customHeight="1" x14ac:dyDescent="0.25">
      <c r="A6" s="51"/>
      <c r="B6" s="154"/>
      <c r="C6" s="154"/>
      <c r="D6" s="144"/>
      <c r="E6" s="144"/>
      <c r="F6" s="144"/>
      <c r="G6" s="144"/>
      <c r="H6" s="144"/>
      <c r="I6" s="144"/>
      <c r="J6" s="144"/>
      <c r="K6" s="114"/>
      <c r="L6" s="114"/>
      <c r="M6" s="123"/>
      <c r="N6" s="123"/>
      <c r="O6" s="123"/>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151"/>
      <c r="CZ6" s="152"/>
      <c r="DA6" s="152"/>
      <c r="DB6" s="152"/>
      <c r="DC6" s="152"/>
      <c r="DD6" s="152"/>
      <c r="DE6" s="153"/>
      <c r="DF6" s="53"/>
      <c r="DG6" s="79"/>
    </row>
    <row r="7" spans="1:111" s="65" customFormat="1" ht="6" customHeight="1" x14ac:dyDescent="0.25">
      <c r="A7" s="51"/>
      <c r="B7" s="89"/>
      <c r="C7" s="91"/>
      <c r="D7" s="92"/>
      <c r="E7" s="93"/>
      <c r="F7" s="93"/>
      <c r="G7" s="120"/>
      <c r="H7" s="114"/>
      <c r="I7" s="114"/>
      <c r="J7" s="114"/>
      <c r="K7" s="114"/>
      <c r="L7" s="114"/>
      <c r="M7" s="123"/>
      <c r="N7" s="123"/>
      <c r="O7" s="123"/>
      <c r="P7" s="123"/>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189"/>
      <c r="BB7" s="189"/>
      <c r="BC7" s="189"/>
      <c r="BD7" s="189"/>
      <c r="BE7" s="75"/>
      <c r="BF7" s="75"/>
      <c r="BG7" s="189"/>
      <c r="BH7" s="189"/>
      <c r="BI7" s="189"/>
      <c r="BJ7" s="189"/>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58"/>
      <c r="CZ7" s="53"/>
      <c r="DA7" s="53"/>
      <c r="DB7" s="53"/>
      <c r="DC7" s="53"/>
      <c r="DD7" s="53"/>
      <c r="DE7" s="56"/>
      <c r="DF7" s="53"/>
      <c r="DG7" s="79"/>
    </row>
    <row r="8" spans="1:111" s="65" customFormat="1" ht="6" customHeight="1" x14ac:dyDescent="0.25">
      <c r="A8" s="51"/>
      <c r="B8" s="154" t="s">
        <v>53</v>
      </c>
      <c r="C8" s="154"/>
      <c r="D8" s="155"/>
      <c r="E8" s="155"/>
      <c r="F8" s="155"/>
      <c r="G8" s="155"/>
      <c r="H8" s="155"/>
      <c r="I8" s="155"/>
      <c r="J8" s="155"/>
      <c r="K8" s="114"/>
      <c r="L8" s="114"/>
      <c r="M8" s="123"/>
      <c r="N8" s="123"/>
      <c r="O8" s="123"/>
      <c r="P8" s="123"/>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189"/>
      <c r="BB8" s="189"/>
      <c r="BC8" s="189"/>
      <c r="BD8" s="189"/>
      <c r="BE8" s="75"/>
      <c r="BF8" s="75"/>
      <c r="BG8" s="189"/>
      <c r="BH8" s="189"/>
      <c r="BI8" s="189"/>
      <c r="BJ8" s="189"/>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75"/>
      <c r="CU8" s="75"/>
      <c r="CV8" s="75"/>
      <c r="CW8" s="75"/>
      <c r="CX8" s="75"/>
      <c r="CY8" s="151" t="s">
        <v>32</v>
      </c>
      <c r="CZ8" s="152" t="s">
        <v>43</v>
      </c>
      <c r="DA8" s="152"/>
      <c r="DB8" s="152"/>
      <c r="DC8" s="152"/>
      <c r="DD8" s="152"/>
      <c r="DE8" s="153">
        <v>3</v>
      </c>
      <c r="DF8" s="53"/>
      <c r="DG8" s="79"/>
    </row>
    <row r="9" spans="1:111" s="65" customFormat="1" ht="6" customHeight="1" x14ac:dyDescent="0.25">
      <c r="A9" s="51"/>
      <c r="B9" s="154"/>
      <c r="C9" s="154"/>
      <c r="D9" s="156"/>
      <c r="E9" s="156"/>
      <c r="F9" s="156"/>
      <c r="G9" s="156"/>
      <c r="H9" s="156"/>
      <c r="I9" s="156"/>
      <c r="J9" s="156"/>
      <c r="K9" s="114"/>
      <c r="L9" s="114"/>
      <c r="M9" s="123"/>
      <c r="N9" s="123"/>
      <c r="O9" s="123"/>
      <c r="P9" s="123"/>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151"/>
      <c r="CZ9" s="152"/>
      <c r="DA9" s="152"/>
      <c r="DB9" s="152"/>
      <c r="DC9" s="152"/>
      <c r="DD9" s="152"/>
      <c r="DE9" s="153"/>
      <c r="DF9" s="53"/>
      <c r="DG9" s="79"/>
    </row>
    <row r="10" spans="1:111" s="65" customFormat="1" ht="6" customHeight="1" x14ac:dyDescent="0.25">
      <c r="A10" s="51"/>
      <c r="B10" s="89"/>
      <c r="C10" s="91"/>
      <c r="D10" s="92"/>
      <c r="E10" s="93"/>
      <c r="F10" s="93"/>
      <c r="G10" s="120"/>
      <c r="H10" s="114"/>
      <c r="I10" s="114"/>
      <c r="J10" s="114"/>
      <c r="K10" s="114"/>
      <c r="L10" s="114"/>
      <c r="M10" s="123"/>
      <c r="N10" s="123"/>
      <c r="O10" s="123"/>
      <c r="P10" s="123"/>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189"/>
      <c r="AY10" s="189"/>
      <c r="AZ10" s="189"/>
      <c r="BA10" s="189"/>
      <c r="BB10" s="75"/>
      <c r="BC10" s="75"/>
      <c r="BD10" s="189"/>
      <c r="BE10" s="189"/>
      <c r="BF10" s="189"/>
      <c r="BG10" s="189"/>
      <c r="BH10" s="75"/>
      <c r="BI10" s="75"/>
      <c r="BJ10" s="189"/>
      <c r="BK10" s="189"/>
      <c r="BL10" s="189"/>
      <c r="BM10" s="189"/>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75"/>
      <c r="CU10" s="75"/>
      <c r="CV10" s="75"/>
      <c r="CW10" s="75"/>
      <c r="CX10" s="75"/>
      <c r="CY10" s="58"/>
      <c r="CZ10" s="53"/>
      <c r="DA10" s="53"/>
      <c r="DB10" s="53"/>
      <c r="DC10" s="53"/>
      <c r="DD10" s="53"/>
      <c r="DE10" s="56"/>
      <c r="DF10" s="53"/>
      <c r="DG10" s="79"/>
    </row>
    <row r="11" spans="1:111" s="65" customFormat="1" ht="6" customHeight="1" x14ac:dyDescent="0.25">
      <c r="A11" s="51"/>
      <c r="B11" s="154" t="s">
        <v>54</v>
      </c>
      <c r="C11" s="154"/>
      <c r="D11" s="143"/>
      <c r="E11" s="143"/>
      <c r="F11" s="143"/>
      <c r="G11" s="143"/>
      <c r="H11" s="143"/>
      <c r="I11" s="143"/>
      <c r="J11" s="143"/>
      <c r="K11" s="114"/>
      <c r="L11" s="114"/>
      <c r="M11" s="123"/>
      <c r="N11" s="123"/>
      <c r="O11" s="123"/>
      <c r="P11" s="123"/>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189"/>
      <c r="AY11" s="189"/>
      <c r="AZ11" s="189"/>
      <c r="BA11" s="189"/>
      <c r="BB11" s="75"/>
      <c r="BC11" s="75"/>
      <c r="BD11" s="189"/>
      <c r="BE11" s="189"/>
      <c r="BF11" s="189"/>
      <c r="BG11" s="189"/>
      <c r="BH11" s="75"/>
      <c r="BI11" s="75"/>
      <c r="BJ11" s="189"/>
      <c r="BK11" s="189"/>
      <c r="BL11" s="189"/>
      <c r="BM11" s="189"/>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151" t="s">
        <v>0</v>
      </c>
      <c r="CZ11" s="152" t="s">
        <v>44</v>
      </c>
      <c r="DA11" s="152"/>
      <c r="DB11" s="152"/>
      <c r="DC11" s="152"/>
      <c r="DD11" s="152"/>
      <c r="DE11" s="153">
        <v>1</v>
      </c>
      <c r="DF11" s="53"/>
      <c r="DG11" s="79"/>
    </row>
    <row r="12" spans="1:111" s="65" customFormat="1" ht="6" customHeight="1" x14ac:dyDescent="0.25">
      <c r="A12" s="51"/>
      <c r="B12" s="154"/>
      <c r="C12" s="154"/>
      <c r="D12" s="144"/>
      <c r="E12" s="144"/>
      <c r="F12" s="144"/>
      <c r="G12" s="144"/>
      <c r="H12" s="144"/>
      <c r="I12" s="144"/>
      <c r="J12" s="144"/>
      <c r="K12" s="114"/>
      <c r="L12" s="114"/>
      <c r="M12" s="123"/>
      <c r="N12" s="123"/>
      <c r="O12" s="123"/>
      <c r="P12" s="123"/>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151"/>
      <c r="CZ12" s="152"/>
      <c r="DA12" s="152"/>
      <c r="DB12" s="152"/>
      <c r="DC12" s="152"/>
      <c r="DD12" s="152"/>
      <c r="DE12" s="153"/>
      <c r="DF12" s="53"/>
      <c r="DG12" s="79"/>
    </row>
    <row r="13" spans="1:111" s="65" customFormat="1" ht="6" customHeight="1" x14ac:dyDescent="0.25">
      <c r="A13" s="51"/>
      <c r="B13" s="90"/>
      <c r="C13" s="94"/>
      <c r="D13" s="93"/>
      <c r="E13" s="93"/>
      <c r="F13" s="93"/>
      <c r="G13" s="93"/>
      <c r="H13" s="114"/>
      <c r="I13" s="114"/>
      <c r="J13" s="114"/>
      <c r="K13" s="114"/>
      <c r="L13" s="114"/>
      <c r="M13" s="123"/>
      <c r="N13" s="123"/>
      <c r="O13" s="123"/>
      <c r="P13" s="123"/>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189"/>
      <c r="AV13" s="189"/>
      <c r="AW13" s="189"/>
      <c r="AX13" s="189"/>
      <c r="AY13" s="75"/>
      <c r="AZ13" s="75"/>
      <c r="BA13" s="189"/>
      <c r="BB13" s="189"/>
      <c r="BC13" s="189"/>
      <c r="BD13" s="189"/>
      <c r="BE13" s="75"/>
      <c r="BF13" s="75"/>
      <c r="BG13" s="189"/>
      <c r="BH13" s="189"/>
      <c r="BI13" s="189"/>
      <c r="BJ13" s="189"/>
      <c r="BK13" s="75"/>
      <c r="BL13" s="75"/>
      <c r="BM13" s="189"/>
      <c r="BN13" s="189"/>
      <c r="BO13" s="189"/>
      <c r="BP13" s="189"/>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60"/>
      <c r="CZ13" s="53"/>
      <c r="DA13" s="53"/>
      <c r="DB13" s="53"/>
      <c r="DC13" s="53"/>
      <c r="DD13" s="53"/>
      <c r="DE13" s="56"/>
      <c r="DF13" s="53"/>
      <c r="DG13" s="79"/>
    </row>
    <row r="14" spans="1:111" s="65" customFormat="1" ht="6" customHeight="1" x14ac:dyDescent="0.25">
      <c r="A14" s="51"/>
      <c r="B14" s="8"/>
      <c r="C14" s="8"/>
      <c r="D14" s="143"/>
      <c r="E14" s="143"/>
      <c r="F14" s="143"/>
      <c r="G14" s="143"/>
      <c r="H14" s="143"/>
      <c r="I14" s="143"/>
      <c r="J14" s="143"/>
      <c r="K14" s="114"/>
      <c r="L14" s="114"/>
      <c r="M14" s="123"/>
      <c r="N14" s="123"/>
      <c r="O14" s="123"/>
      <c r="P14" s="123"/>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189"/>
      <c r="AV14" s="189"/>
      <c r="AW14" s="189"/>
      <c r="AX14" s="189"/>
      <c r="AY14" s="75"/>
      <c r="AZ14" s="75"/>
      <c r="BA14" s="189"/>
      <c r="BB14" s="189"/>
      <c r="BC14" s="189"/>
      <c r="BD14" s="189"/>
      <c r="BE14" s="75"/>
      <c r="BF14" s="75"/>
      <c r="BG14" s="189"/>
      <c r="BH14" s="189"/>
      <c r="BI14" s="189"/>
      <c r="BJ14" s="189"/>
      <c r="BK14" s="75"/>
      <c r="BL14" s="75"/>
      <c r="BM14" s="189"/>
      <c r="BN14" s="189"/>
      <c r="BO14" s="189"/>
      <c r="BP14" s="189"/>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169" t="s">
        <v>34</v>
      </c>
      <c r="CZ14" s="152" t="s">
        <v>40</v>
      </c>
      <c r="DA14" s="152"/>
      <c r="DB14" s="152"/>
      <c r="DC14" s="152"/>
      <c r="DD14" s="152"/>
      <c r="DE14" s="113"/>
      <c r="DF14" s="53"/>
      <c r="DG14" s="79"/>
    </row>
    <row r="15" spans="1:111" s="65" customFormat="1" ht="6" customHeight="1" x14ac:dyDescent="0.25">
      <c r="A15" s="51"/>
      <c r="B15" s="8"/>
      <c r="C15" s="8"/>
      <c r="D15" s="144"/>
      <c r="E15" s="144"/>
      <c r="F15" s="144"/>
      <c r="G15" s="144"/>
      <c r="H15" s="144"/>
      <c r="I15" s="144"/>
      <c r="J15" s="144"/>
      <c r="K15" s="114"/>
      <c r="L15" s="114"/>
      <c r="M15" s="123"/>
      <c r="N15" s="123"/>
      <c r="O15" s="123"/>
      <c r="P15" s="123"/>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169"/>
      <c r="CZ15" s="152"/>
      <c r="DA15" s="152"/>
      <c r="DB15" s="152"/>
      <c r="DC15" s="152"/>
      <c r="DD15" s="152"/>
      <c r="DE15" s="113"/>
      <c r="DF15" s="53"/>
      <c r="DG15" s="79"/>
    </row>
    <row r="16" spans="1:111" s="65" customFormat="1" ht="6" customHeight="1" x14ac:dyDescent="0.25">
      <c r="A16" s="51"/>
      <c r="B16" s="8"/>
      <c r="C16" s="8"/>
      <c r="D16" s="93"/>
      <c r="E16" s="93"/>
      <c r="F16" s="93"/>
      <c r="G16" s="93"/>
      <c r="H16" s="114"/>
      <c r="I16" s="114"/>
      <c r="J16" s="114"/>
      <c r="K16" s="114"/>
      <c r="L16" s="114"/>
      <c r="M16" s="123"/>
      <c r="N16" s="123"/>
      <c r="O16" s="123"/>
      <c r="P16" s="123"/>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189"/>
      <c r="AS16" s="189"/>
      <c r="AT16" s="189"/>
      <c r="AU16" s="189"/>
      <c r="AV16" s="75"/>
      <c r="AW16" s="75"/>
      <c r="AX16" s="189"/>
      <c r="AY16" s="189"/>
      <c r="AZ16" s="189"/>
      <c r="BA16" s="189"/>
      <c r="BB16" s="75"/>
      <c r="BC16" s="75"/>
      <c r="BD16" s="189"/>
      <c r="BE16" s="189"/>
      <c r="BF16" s="189"/>
      <c r="BG16" s="189"/>
      <c r="BH16" s="75"/>
      <c r="BI16" s="75"/>
      <c r="BJ16" s="189"/>
      <c r="BK16" s="189"/>
      <c r="BL16" s="189"/>
      <c r="BM16" s="189"/>
      <c r="BN16" s="75"/>
      <c r="BO16" s="75"/>
      <c r="BP16" s="189"/>
      <c r="BQ16" s="189"/>
      <c r="BR16" s="189"/>
      <c r="BS16" s="189"/>
      <c r="BT16" s="75"/>
      <c r="BU16" s="75"/>
      <c r="BV16" s="75"/>
      <c r="BW16" s="75"/>
      <c r="BX16" s="75"/>
      <c r="BY16" s="75"/>
      <c r="BZ16" s="75"/>
      <c r="CA16" s="75"/>
      <c r="CB16" s="75"/>
      <c r="CC16" s="75"/>
      <c r="CD16" s="75"/>
      <c r="CE16" s="75"/>
      <c r="CF16" s="75"/>
      <c r="CG16" s="75"/>
      <c r="CH16" s="75"/>
      <c r="CI16" s="75"/>
      <c r="CJ16" s="75"/>
      <c r="CK16" s="75"/>
      <c r="CL16" s="75"/>
      <c r="CM16" s="75"/>
      <c r="CN16" s="75"/>
      <c r="CO16" s="75"/>
      <c r="CP16" s="75"/>
      <c r="CQ16" s="75"/>
      <c r="CR16" s="75"/>
      <c r="CS16" s="75"/>
      <c r="CT16" s="75"/>
      <c r="CU16" s="75"/>
      <c r="CV16" s="75"/>
      <c r="CW16" s="75"/>
      <c r="CX16" s="75"/>
      <c r="CY16" s="60"/>
      <c r="CZ16" s="53"/>
      <c r="DA16" s="53"/>
      <c r="DB16" s="53"/>
      <c r="DC16" s="53"/>
      <c r="DD16" s="53"/>
      <c r="DE16" s="56"/>
      <c r="DF16" s="53"/>
      <c r="DG16" s="79"/>
    </row>
    <row r="17" spans="1:111" s="65" customFormat="1" ht="6" customHeight="1" x14ac:dyDescent="0.25">
      <c r="A17" s="51"/>
      <c r="B17" s="8"/>
      <c r="C17" s="8"/>
      <c r="D17" s="143"/>
      <c r="E17" s="143"/>
      <c r="F17" s="143"/>
      <c r="G17" s="143"/>
      <c r="H17" s="143"/>
      <c r="I17" s="143"/>
      <c r="J17" s="143"/>
      <c r="K17" s="114"/>
      <c r="L17" s="114"/>
      <c r="M17" s="123"/>
      <c r="N17" s="123"/>
      <c r="O17" s="123"/>
      <c r="P17" s="123"/>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189"/>
      <c r="AS17" s="189"/>
      <c r="AT17" s="189"/>
      <c r="AU17" s="189"/>
      <c r="AV17" s="75"/>
      <c r="AW17" s="75"/>
      <c r="AX17" s="189"/>
      <c r="AY17" s="189"/>
      <c r="AZ17" s="189"/>
      <c r="BA17" s="189"/>
      <c r="BB17" s="75"/>
      <c r="BC17" s="75"/>
      <c r="BD17" s="189"/>
      <c r="BE17" s="189"/>
      <c r="BF17" s="189"/>
      <c r="BG17" s="189"/>
      <c r="BH17" s="75"/>
      <c r="BI17" s="75"/>
      <c r="BJ17" s="189"/>
      <c r="BK17" s="189"/>
      <c r="BL17" s="189"/>
      <c r="BM17" s="189"/>
      <c r="BN17" s="75"/>
      <c r="BO17" s="75"/>
      <c r="BP17" s="189"/>
      <c r="BQ17" s="189"/>
      <c r="BR17" s="189"/>
      <c r="BS17" s="189"/>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169" t="s">
        <v>31</v>
      </c>
      <c r="CZ17" s="152" t="s">
        <v>39</v>
      </c>
      <c r="DA17" s="152"/>
      <c r="DB17" s="152"/>
      <c r="DC17" s="152"/>
      <c r="DD17" s="152"/>
      <c r="DE17" s="113"/>
      <c r="DF17" s="53"/>
      <c r="DG17" s="79"/>
    </row>
    <row r="18" spans="1:111" s="65" customFormat="1" ht="6" customHeight="1" x14ac:dyDescent="0.25">
      <c r="A18" s="51"/>
      <c r="B18" s="8"/>
      <c r="C18" s="8"/>
      <c r="D18" s="144"/>
      <c r="E18" s="144"/>
      <c r="F18" s="144"/>
      <c r="G18" s="144"/>
      <c r="H18" s="144"/>
      <c r="I18" s="144"/>
      <c r="J18" s="144"/>
      <c r="K18" s="114"/>
      <c r="L18" s="114"/>
      <c r="M18" s="123"/>
      <c r="N18" s="123"/>
      <c r="O18" s="123"/>
      <c r="P18" s="123"/>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75"/>
      <c r="CU18" s="75"/>
      <c r="CV18" s="75"/>
      <c r="CW18" s="75"/>
      <c r="CX18" s="75"/>
      <c r="CY18" s="169"/>
      <c r="CZ18" s="152"/>
      <c r="DA18" s="152"/>
      <c r="DB18" s="152"/>
      <c r="DC18" s="152"/>
      <c r="DD18" s="152"/>
      <c r="DE18" s="113"/>
      <c r="DF18" s="53"/>
      <c r="DG18" s="79"/>
    </row>
    <row r="19" spans="1:111" s="65" customFormat="1" ht="6" customHeight="1" x14ac:dyDescent="0.25">
      <c r="A19" s="51"/>
      <c r="B19" s="8"/>
      <c r="C19" s="8"/>
      <c r="D19" s="93"/>
      <c r="E19" s="93"/>
      <c r="F19" s="93"/>
      <c r="G19" s="93"/>
      <c r="H19" s="114"/>
      <c r="I19" s="114"/>
      <c r="J19" s="114"/>
      <c r="K19" s="114"/>
      <c r="L19" s="114"/>
      <c r="M19" s="123"/>
      <c r="N19" s="123"/>
      <c r="O19" s="123"/>
      <c r="P19" s="123"/>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189"/>
      <c r="AP19" s="189"/>
      <c r="AQ19" s="189"/>
      <c r="AR19" s="189"/>
      <c r="AS19" s="75"/>
      <c r="AT19" s="75"/>
      <c r="AU19" s="189"/>
      <c r="AV19" s="189"/>
      <c r="AW19" s="189"/>
      <c r="AX19" s="189"/>
      <c r="AY19" s="75"/>
      <c r="AZ19" s="75"/>
      <c r="BA19" s="189"/>
      <c r="BB19" s="189"/>
      <c r="BC19" s="189"/>
      <c r="BD19" s="189"/>
      <c r="BE19" s="75"/>
      <c r="BF19" s="75"/>
      <c r="BG19" s="189"/>
      <c r="BH19" s="189"/>
      <c r="BI19" s="189"/>
      <c r="BJ19" s="189"/>
      <c r="BK19" s="75"/>
      <c r="BL19" s="75"/>
      <c r="BM19" s="189"/>
      <c r="BN19" s="189"/>
      <c r="BO19" s="189"/>
      <c r="BP19" s="189"/>
      <c r="BQ19" s="75"/>
      <c r="BR19" s="75"/>
      <c r="BS19" s="189"/>
      <c r="BT19" s="189"/>
      <c r="BU19" s="189"/>
      <c r="BV19" s="189"/>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75"/>
      <c r="CU19" s="75"/>
      <c r="CV19" s="75"/>
      <c r="CW19" s="75"/>
      <c r="CX19" s="75"/>
      <c r="CY19" s="60"/>
      <c r="CZ19" s="53"/>
      <c r="DA19" s="53"/>
      <c r="DB19" s="53"/>
      <c r="DC19" s="53"/>
      <c r="DD19" s="53"/>
      <c r="DE19" s="56"/>
      <c r="DF19" s="53"/>
      <c r="DG19" s="79"/>
    </row>
    <row r="20" spans="1:111" s="65" customFormat="1" ht="6" customHeight="1" x14ac:dyDescent="0.25">
      <c r="A20" s="51"/>
      <c r="B20" s="8"/>
      <c r="C20" s="8"/>
      <c r="D20" s="143"/>
      <c r="E20" s="143"/>
      <c r="F20" s="143"/>
      <c r="G20" s="143"/>
      <c r="H20" s="143"/>
      <c r="I20" s="143"/>
      <c r="J20" s="143"/>
      <c r="K20" s="114"/>
      <c r="L20" s="114"/>
      <c r="M20" s="123"/>
      <c r="N20" s="123"/>
      <c r="O20" s="123"/>
      <c r="P20" s="123"/>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189"/>
      <c r="AP20" s="189"/>
      <c r="AQ20" s="189"/>
      <c r="AR20" s="189"/>
      <c r="AS20" s="75"/>
      <c r="AT20" s="75"/>
      <c r="AU20" s="189"/>
      <c r="AV20" s="189"/>
      <c r="AW20" s="189"/>
      <c r="AX20" s="189"/>
      <c r="AY20" s="75"/>
      <c r="AZ20" s="75"/>
      <c r="BA20" s="189"/>
      <c r="BB20" s="189"/>
      <c r="BC20" s="189"/>
      <c r="BD20" s="189"/>
      <c r="BE20" s="75"/>
      <c r="BF20" s="75"/>
      <c r="BG20" s="189"/>
      <c r="BH20" s="189"/>
      <c r="BI20" s="189"/>
      <c r="BJ20" s="189"/>
      <c r="BK20" s="75"/>
      <c r="BL20" s="75"/>
      <c r="BM20" s="189"/>
      <c r="BN20" s="189"/>
      <c r="BO20" s="189"/>
      <c r="BP20" s="189"/>
      <c r="BQ20" s="75"/>
      <c r="BR20" s="75"/>
      <c r="BS20" s="189"/>
      <c r="BT20" s="189"/>
      <c r="BU20" s="189"/>
      <c r="BV20" s="189"/>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75"/>
      <c r="CU20" s="75"/>
      <c r="CV20" s="75"/>
      <c r="CW20" s="75"/>
      <c r="CX20" s="75"/>
      <c r="CY20" s="169" t="s">
        <v>30</v>
      </c>
      <c r="CZ20" s="152" t="s">
        <v>38</v>
      </c>
      <c r="DA20" s="152"/>
      <c r="DB20" s="152"/>
      <c r="DC20" s="152"/>
      <c r="DD20" s="152"/>
      <c r="DE20" s="113"/>
      <c r="DF20" s="53"/>
      <c r="DG20" s="79"/>
    </row>
    <row r="21" spans="1:111" s="65" customFormat="1" ht="6" customHeight="1" x14ac:dyDescent="0.25">
      <c r="A21" s="51"/>
      <c r="B21" s="8"/>
      <c r="C21" s="8"/>
      <c r="D21" s="144"/>
      <c r="E21" s="144"/>
      <c r="F21" s="144"/>
      <c r="G21" s="144"/>
      <c r="H21" s="144"/>
      <c r="I21" s="144"/>
      <c r="J21" s="144"/>
      <c r="K21" s="114"/>
      <c r="L21" s="114"/>
      <c r="M21" s="123"/>
      <c r="N21" s="123"/>
      <c r="O21" s="123"/>
      <c r="P21" s="123"/>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169"/>
      <c r="CZ21" s="152"/>
      <c r="DA21" s="152"/>
      <c r="DB21" s="152"/>
      <c r="DC21" s="152"/>
      <c r="DD21" s="152"/>
      <c r="DE21" s="113"/>
      <c r="DF21" s="53"/>
      <c r="DG21" s="79"/>
    </row>
    <row r="22" spans="1:111" s="65" customFormat="1" ht="6" customHeight="1" x14ac:dyDescent="0.25">
      <c r="A22" s="51"/>
      <c r="B22" s="8"/>
      <c r="C22" s="8"/>
      <c r="D22" s="93"/>
      <c r="E22" s="93"/>
      <c r="F22" s="93"/>
      <c r="G22" s="93"/>
      <c r="H22" s="114"/>
      <c r="I22" s="114"/>
      <c r="J22" s="114"/>
      <c r="K22" s="114"/>
      <c r="L22" s="114"/>
      <c r="M22" s="123"/>
      <c r="N22" s="123"/>
      <c r="O22" s="123"/>
      <c r="P22" s="123"/>
      <c r="Q22" s="75"/>
      <c r="R22" s="75"/>
      <c r="S22" s="75"/>
      <c r="T22" s="75"/>
      <c r="U22" s="75"/>
      <c r="V22" s="75"/>
      <c r="W22" s="75"/>
      <c r="X22" s="75"/>
      <c r="Y22" s="75"/>
      <c r="Z22" s="75"/>
      <c r="AA22" s="75"/>
      <c r="AB22" s="75"/>
      <c r="AC22" s="75"/>
      <c r="AD22" s="75"/>
      <c r="AE22" s="75"/>
      <c r="AF22" s="75"/>
      <c r="AG22" s="75"/>
      <c r="AH22" s="75"/>
      <c r="AI22" s="75"/>
      <c r="AJ22" s="75"/>
      <c r="AK22" s="75"/>
      <c r="AL22" s="189"/>
      <c r="AM22" s="189"/>
      <c r="AN22" s="189"/>
      <c r="AO22" s="189"/>
      <c r="AP22" s="75"/>
      <c r="AQ22" s="75"/>
      <c r="AR22" s="189"/>
      <c r="AS22" s="189"/>
      <c r="AT22" s="189"/>
      <c r="AU22" s="189"/>
      <c r="AV22" s="75"/>
      <c r="AW22" s="75"/>
      <c r="AX22" s="189"/>
      <c r="AY22" s="189"/>
      <c r="AZ22" s="189"/>
      <c r="BA22" s="189"/>
      <c r="BB22" s="75"/>
      <c r="BC22" s="75"/>
      <c r="BD22" s="189"/>
      <c r="BE22" s="189"/>
      <c r="BF22" s="189"/>
      <c r="BG22" s="189"/>
      <c r="BH22" s="75"/>
      <c r="BI22" s="75"/>
      <c r="BJ22" s="189"/>
      <c r="BK22" s="189"/>
      <c r="BL22" s="189"/>
      <c r="BM22" s="189"/>
      <c r="BN22" s="75"/>
      <c r="BO22" s="75"/>
      <c r="BP22" s="189"/>
      <c r="BQ22" s="189"/>
      <c r="BR22" s="189"/>
      <c r="BS22" s="189"/>
      <c r="BT22" s="75"/>
      <c r="BU22" s="75"/>
      <c r="BV22" s="189"/>
      <c r="BW22" s="189"/>
      <c r="BX22" s="189"/>
      <c r="BY22" s="189"/>
      <c r="BZ22" s="75"/>
      <c r="CA22" s="75"/>
      <c r="CB22" s="75"/>
      <c r="CC22" s="75"/>
      <c r="CD22" s="75"/>
      <c r="CE22" s="75"/>
      <c r="CF22" s="75"/>
      <c r="CG22" s="75"/>
      <c r="CH22" s="75"/>
      <c r="CI22" s="75"/>
      <c r="CJ22" s="75"/>
      <c r="CK22" s="75"/>
      <c r="CL22" s="75"/>
      <c r="CM22" s="75"/>
      <c r="CN22" s="75"/>
      <c r="CO22" s="75"/>
      <c r="CP22" s="75"/>
      <c r="CQ22" s="75"/>
      <c r="CR22" s="75"/>
      <c r="CS22" s="75"/>
      <c r="CT22" s="75"/>
      <c r="CU22" s="75"/>
      <c r="CV22" s="75"/>
      <c r="CW22" s="75"/>
      <c r="CX22" s="75"/>
      <c r="CY22" s="60"/>
      <c r="CZ22" s="53"/>
      <c r="DA22" s="53"/>
      <c r="DB22" s="53"/>
      <c r="DC22" s="53"/>
      <c r="DD22" s="53"/>
      <c r="DE22" s="56"/>
      <c r="DF22" s="53"/>
      <c r="DG22" s="79"/>
    </row>
    <row r="23" spans="1:111" s="65" customFormat="1" ht="6" customHeight="1" x14ac:dyDescent="0.25">
      <c r="A23" s="51"/>
      <c r="B23" s="8"/>
      <c r="C23" s="8"/>
      <c r="D23" s="143"/>
      <c r="E23" s="143"/>
      <c r="F23" s="143"/>
      <c r="G23" s="143"/>
      <c r="H23" s="143"/>
      <c r="I23" s="143"/>
      <c r="J23" s="143"/>
      <c r="K23" s="114"/>
      <c r="L23" s="114"/>
      <c r="M23" s="123"/>
      <c r="N23" s="123"/>
      <c r="O23" s="123"/>
      <c r="P23" s="123"/>
      <c r="Q23" s="75"/>
      <c r="R23" s="75"/>
      <c r="S23" s="75"/>
      <c r="T23" s="75"/>
      <c r="U23" s="75"/>
      <c r="V23" s="75"/>
      <c r="W23" s="75"/>
      <c r="X23" s="75"/>
      <c r="Y23" s="75"/>
      <c r="Z23" s="75"/>
      <c r="AA23" s="75"/>
      <c r="AB23" s="75"/>
      <c r="AC23" s="75"/>
      <c r="AD23" s="75"/>
      <c r="AE23" s="75"/>
      <c r="AF23" s="75"/>
      <c r="AG23" s="75"/>
      <c r="AH23" s="75"/>
      <c r="AI23" s="75"/>
      <c r="AJ23" s="75"/>
      <c r="AK23" s="75"/>
      <c r="AL23" s="189"/>
      <c r="AM23" s="189"/>
      <c r="AN23" s="189"/>
      <c r="AO23" s="189"/>
      <c r="AP23" s="75"/>
      <c r="AQ23" s="75"/>
      <c r="AR23" s="189"/>
      <c r="AS23" s="189"/>
      <c r="AT23" s="189"/>
      <c r="AU23" s="189"/>
      <c r="AV23" s="75"/>
      <c r="AW23" s="75"/>
      <c r="AX23" s="189"/>
      <c r="AY23" s="189"/>
      <c r="AZ23" s="189"/>
      <c r="BA23" s="189"/>
      <c r="BB23" s="75"/>
      <c r="BC23" s="75"/>
      <c r="BD23" s="189"/>
      <c r="BE23" s="189"/>
      <c r="BF23" s="189"/>
      <c r="BG23" s="189"/>
      <c r="BH23" s="75"/>
      <c r="BI23" s="75"/>
      <c r="BJ23" s="189"/>
      <c r="BK23" s="189"/>
      <c r="BL23" s="189"/>
      <c r="BM23" s="189"/>
      <c r="BN23" s="75"/>
      <c r="BO23" s="75"/>
      <c r="BP23" s="189"/>
      <c r="BQ23" s="189"/>
      <c r="BR23" s="189"/>
      <c r="BS23" s="189"/>
      <c r="BT23" s="75"/>
      <c r="BU23" s="75"/>
      <c r="BV23" s="189"/>
      <c r="BW23" s="189"/>
      <c r="BX23" s="189"/>
      <c r="BY23" s="189"/>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169" t="s">
        <v>4</v>
      </c>
      <c r="CZ23" s="152" t="s">
        <v>41</v>
      </c>
      <c r="DA23" s="152"/>
      <c r="DB23" s="152"/>
      <c r="DC23" s="152"/>
      <c r="DD23" s="152"/>
      <c r="DE23" s="113"/>
      <c r="DF23" s="53"/>
      <c r="DG23" s="79"/>
    </row>
    <row r="24" spans="1:111" s="65" customFormat="1" ht="6" customHeight="1" x14ac:dyDescent="0.25">
      <c r="A24" s="51"/>
      <c r="B24" s="8"/>
      <c r="C24" s="8"/>
      <c r="D24" s="144"/>
      <c r="E24" s="144"/>
      <c r="F24" s="144"/>
      <c r="G24" s="144"/>
      <c r="H24" s="144"/>
      <c r="I24" s="144"/>
      <c r="J24" s="144"/>
      <c r="K24" s="114"/>
      <c r="L24" s="114"/>
      <c r="M24" s="123"/>
      <c r="N24" s="123"/>
      <c r="O24" s="123"/>
      <c r="P24" s="123"/>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169"/>
      <c r="CZ24" s="152"/>
      <c r="DA24" s="152"/>
      <c r="DB24" s="152"/>
      <c r="DC24" s="152"/>
      <c r="DD24" s="152"/>
      <c r="DE24" s="113"/>
      <c r="DF24" s="53"/>
      <c r="DG24" s="79"/>
    </row>
    <row r="25" spans="1:111" s="65" customFormat="1" ht="6" customHeight="1" x14ac:dyDescent="0.25">
      <c r="A25" s="51"/>
      <c r="B25" s="8"/>
      <c r="C25" s="8"/>
      <c r="D25" s="93"/>
      <c r="E25" s="93"/>
      <c r="F25" s="93"/>
      <c r="G25" s="93"/>
      <c r="H25" s="114"/>
      <c r="I25" s="114"/>
      <c r="J25" s="114"/>
      <c r="K25" s="114"/>
      <c r="L25" s="114"/>
      <c r="M25" s="123"/>
      <c r="N25" s="123"/>
      <c r="O25" s="123"/>
      <c r="P25" s="123"/>
      <c r="Q25" s="75"/>
      <c r="R25" s="75"/>
      <c r="S25" s="75"/>
      <c r="T25" s="75"/>
      <c r="U25" s="75"/>
      <c r="V25" s="75"/>
      <c r="W25" s="75"/>
      <c r="X25" s="75"/>
      <c r="Y25" s="75"/>
      <c r="Z25" s="75"/>
      <c r="AA25" s="75"/>
      <c r="AB25" s="75"/>
      <c r="AC25" s="75"/>
      <c r="AD25" s="75"/>
      <c r="AE25" s="75"/>
      <c r="AF25" s="75"/>
      <c r="AG25" s="75"/>
      <c r="AH25" s="75"/>
      <c r="AI25" s="189"/>
      <c r="AJ25" s="189"/>
      <c r="AK25" s="189"/>
      <c r="AL25" s="189"/>
      <c r="AM25" s="75"/>
      <c r="AN25" s="75"/>
      <c r="AO25" s="189"/>
      <c r="AP25" s="189"/>
      <c r="AQ25" s="189"/>
      <c r="AR25" s="189"/>
      <c r="AS25" s="75"/>
      <c r="AT25" s="75"/>
      <c r="AU25" s="189"/>
      <c r="AV25" s="189"/>
      <c r="AW25" s="189"/>
      <c r="AX25" s="189"/>
      <c r="AY25" s="75"/>
      <c r="AZ25" s="75"/>
      <c r="BA25" s="189"/>
      <c r="BB25" s="189"/>
      <c r="BC25" s="189"/>
      <c r="BD25" s="189"/>
      <c r="BE25" s="75"/>
      <c r="BF25" s="75"/>
      <c r="BG25" s="189"/>
      <c r="BH25" s="189"/>
      <c r="BI25" s="189"/>
      <c r="BJ25" s="189"/>
      <c r="BK25" s="75"/>
      <c r="BL25" s="75"/>
      <c r="BM25" s="189"/>
      <c r="BN25" s="189"/>
      <c r="BO25" s="189"/>
      <c r="BP25" s="189"/>
      <c r="BQ25" s="75"/>
      <c r="BR25" s="75"/>
      <c r="BS25" s="189"/>
      <c r="BT25" s="189"/>
      <c r="BU25" s="189"/>
      <c r="BV25" s="189"/>
      <c r="BW25" s="75"/>
      <c r="BX25" s="75"/>
      <c r="BY25" s="189"/>
      <c r="BZ25" s="189"/>
      <c r="CA25" s="189"/>
      <c r="CB25" s="189"/>
      <c r="CC25" s="75"/>
      <c r="CD25" s="75"/>
      <c r="CE25" s="75"/>
      <c r="CF25" s="75"/>
      <c r="CG25" s="75"/>
      <c r="CH25" s="75"/>
      <c r="CI25" s="75"/>
      <c r="CJ25" s="75"/>
      <c r="CK25" s="75"/>
      <c r="CL25" s="75"/>
      <c r="CM25" s="75"/>
      <c r="CN25" s="75"/>
      <c r="CO25" s="75"/>
      <c r="CP25" s="75"/>
      <c r="CQ25" s="75"/>
      <c r="CR25" s="75"/>
      <c r="CS25" s="75"/>
      <c r="CT25" s="75"/>
      <c r="CU25" s="75"/>
      <c r="CV25" s="75"/>
      <c r="CW25" s="75"/>
      <c r="CX25" s="75"/>
      <c r="CY25" s="55"/>
      <c r="CZ25" s="53"/>
      <c r="DA25" s="53"/>
      <c r="DB25" s="53"/>
      <c r="DC25" s="53"/>
      <c r="DD25" s="53"/>
      <c r="DE25" s="56"/>
      <c r="DF25" s="53"/>
      <c r="DG25" s="79"/>
    </row>
    <row r="26" spans="1:111" s="65" customFormat="1" ht="6" customHeight="1" x14ac:dyDescent="0.25">
      <c r="A26" s="51"/>
      <c r="B26" s="8"/>
      <c r="C26" s="8"/>
      <c r="D26" s="143"/>
      <c r="E26" s="143"/>
      <c r="F26" s="143"/>
      <c r="G26" s="143"/>
      <c r="H26" s="143"/>
      <c r="I26" s="143"/>
      <c r="J26" s="143"/>
      <c r="K26" s="114"/>
      <c r="L26" s="114"/>
      <c r="M26" s="123"/>
      <c r="N26" s="123"/>
      <c r="O26" s="123"/>
      <c r="P26" s="123"/>
      <c r="Q26" s="75"/>
      <c r="R26" s="75"/>
      <c r="S26" s="75"/>
      <c r="T26" s="75"/>
      <c r="U26" s="75"/>
      <c r="V26" s="75"/>
      <c r="W26" s="75"/>
      <c r="X26" s="75"/>
      <c r="Y26" s="75"/>
      <c r="Z26" s="75"/>
      <c r="AA26" s="75"/>
      <c r="AB26" s="75"/>
      <c r="AC26" s="75"/>
      <c r="AD26" s="75"/>
      <c r="AE26" s="75"/>
      <c r="AF26" s="75"/>
      <c r="AG26" s="75"/>
      <c r="AH26" s="75"/>
      <c r="AI26" s="189"/>
      <c r="AJ26" s="189"/>
      <c r="AK26" s="189"/>
      <c r="AL26" s="189"/>
      <c r="AM26" s="75"/>
      <c r="AN26" s="75"/>
      <c r="AO26" s="189"/>
      <c r="AP26" s="189"/>
      <c r="AQ26" s="189"/>
      <c r="AR26" s="189"/>
      <c r="AS26" s="75"/>
      <c r="AT26" s="75"/>
      <c r="AU26" s="189"/>
      <c r="AV26" s="189"/>
      <c r="AW26" s="189"/>
      <c r="AX26" s="189"/>
      <c r="AY26" s="75"/>
      <c r="AZ26" s="75"/>
      <c r="BA26" s="189"/>
      <c r="BB26" s="189"/>
      <c r="BC26" s="189"/>
      <c r="BD26" s="189"/>
      <c r="BE26" s="75"/>
      <c r="BF26" s="75"/>
      <c r="BG26" s="189"/>
      <c r="BH26" s="189"/>
      <c r="BI26" s="189"/>
      <c r="BJ26" s="189"/>
      <c r="BK26" s="75"/>
      <c r="BL26" s="75"/>
      <c r="BM26" s="189"/>
      <c r="BN26" s="189"/>
      <c r="BO26" s="189"/>
      <c r="BP26" s="189"/>
      <c r="BQ26" s="75"/>
      <c r="BR26" s="75"/>
      <c r="BS26" s="189"/>
      <c r="BT26" s="189"/>
      <c r="BU26" s="189"/>
      <c r="BV26" s="189"/>
      <c r="BW26" s="75"/>
      <c r="BX26" s="75"/>
      <c r="BY26" s="189"/>
      <c r="BZ26" s="189"/>
      <c r="CA26" s="189"/>
      <c r="CB26" s="189"/>
      <c r="CC26" s="75"/>
      <c r="CD26" s="75"/>
      <c r="CE26" s="75"/>
      <c r="CF26" s="75"/>
      <c r="CG26" s="75"/>
      <c r="CH26" s="75"/>
      <c r="CI26" s="75"/>
      <c r="CJ26" s="75"/>
      <c r="CK26" s="75"/>
      <c r="CL26" s="75"/>
      <c r="CM26" s="75"/>
      <c r="CN26" s="75"/>
      <c r="CO26" s="75"/>
      <c r="CP26" s="75"/>
      <c r="CQ26" s="75"/>
      <c r="CR26" s="75"/>
      <c r="CS26" s="75"/>
      <c r="CT26" s="75"/>
      <c r="CU26" s="75"/>
      <c r="CV26" s="75"/>
      <c r="CW26" s="75"/>
      <c r="CX26" s="75"/>
      <c r="CY26" s="162" t="s">
        <v>4</v>
      </c>
      <c r="CZ26" s="152" t="s">
        <v>45</v>
      </c>
      <c r="DA26" s="152"/>
      <c r="DB26" s="152"/>
      <c r="DC26" s="152"/>
      <c r="DD26" s="152"/>
      <c r="DE26" s="113"/>
      <c r="DF26" s="53"/>
      <c r="DG26" s="79"/>
    </row>
    <row r="27" spans="1:111" s="65" customFormat="1" ht="6" customHeight="1" x14ac:dyDescent="0.25">
      <c r="A27" s="51"/>
      <c r="B27" s="8"/>
      <c r="C27" s="8"/>
      <c r="D27" s="144"/>
      <c r="E27" s="144"/>
      <c r="F27" s="144"/>
      <c r="G27" s="144"/>
      <c r="H27" s="144"/>
      <c r="I27" s="144"/>
      <c r="J27" s="144"/>
      <c r="K27" s="114"/>
      <c r="L27" s="114"/>
      <c r="M27" s="123"/>
      <c r="N27" s="123"/>
      <c r="O27" s="123"/>
      <c r="P27" s="123"/>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75"/>
      <c r="CF27" s="75"/>
      <c r="CG27" s="75"/>
      <c r="CH27" s="75"/>
      <c r="CI27" s="75"/>
      <c r="CJ27" s="75"/>
      <c r="CK27" s="75"/>
      <c r="CL27" s="75"/>
      <c r="CM27" s="75"/>
      <c r="CN27" s="75"/>
      <c r="CO27" s="75"/>
      <c r="CP27" s="75"/>
      <c r="CQ27" s="75"/>
      <c r="CR27" s="75"/>
      <c r="CS27" s="75"/>
      <c r="CT27" s="75"/>
      <c r="CU27" s="75"/>
      <c r="CV27" s="75"/>
      <c r="CW27" s="75"/>
      <c r="CX27" s="75"/>
      <c r="CY27" s="162"/>
      <c r="CZ27" s="152"/>
      <c r="DA27" s="152"/>
      <c r="DB27" s="152"/>
      <c r="DC27" s="152"/>
      <c r="DD27" s="152"/>
      <c r="DE27" s="113"/>
      <c r="DF27" s="53"/>
      <c r="DG27" s="79"/>
    </row>
    <row r="28" spans="1:111" s="65" customFormat="1" ht="6" customHeight="1" x14ac:dyDescent="0.25">
      <c r="A28" s="51"/>
      <c r="B28" s="8"/>
      <c r="C28" s="8"/>
      <c r="D28" s="93"/>
      <c r="E28" s="93"/>
      <c r="F28" s="93"/>
      <c r="G28" s="93"/>
      <c r="H28" s="114"/>
      <c r="I28" s="114"/>
      <c r="J28" s="114"/>
      <c r="K28" s="114"/>
      <c r="L28" s="114"/>
      <c r="M28" s="123"/>
      <c r="N28" s="123"/>
      <c r="O28" s="123"/>
      <c r="P28" s="123"/>
      <c r="Q28" s="75"/>
      <c r="R28" s="75"/>
      <c r="S28" s="75"/>
      <c r="T28" s="75"/>
      <c r="U28" s="75"/>
      <c r="V28" s="75"/>
      <c r="W28" s="75"/>
      <c r="X28" s="75"/>
      <c r="Y28" s="75"/>
      <c r="Z28" s="75"/>
      <c r="AA28" s="75"/>
      <c r="AB28" s="75"/>
      <c r="AC28" s="75"/>
      <c r="AD28" s="75"/>
      <c r="AE28" s="75"/>
      <c r="AF28" s="189"/>
      <c r="AG28" s="189"/>
      <c r="AH28" s="189"/>
      <c r="AI28" s="189"/>
      <c r="AJ28" s="75"/>
      <c r="AK28" s="75"/>
      <c r="AL28" s="189"/>
      <c r="AM28" s="189"/>
      <c r="AN28" s="189"/>
      <c r="AO28" s="189"/>
      <c r="AP28" s="75"/>
      <c r="AQ28" s="75"/>
      <c r="AR28" s="189"/>
      <c r="AS28" s="189"/>
      <c r="AT28" s="189"/>
      <c r="AU28" s="189"/>
      <c r="AV28" s="75"/>
      <c r="AW28" s="75"/>
      <c r="AX28" s="189"/>
      <c r="AY28" s="189"/>
      <c r="AZ28" s="189"/>
      <c r="BA28" s="189"/>
      <c r="BB28" s="75"/>
      <c r="BC28" s="75"/>
      <c r="BD28" s="189"/>
      <c r="BE28" s="189"/>
      <c r="BF28" s="189"/>
      <c r="BG28" s="189"/>
      <c r="BH28" s="75"/>
      <c r="BI28" s="75"/>
      <c r="BJ28" s="189"/>
      <c r="BK28" s="189"/>
      <c r="BL28" s="189"/>
      <c r="BM28" s="189"/>
      <c r="BN28" s="75"/>
      <c r="BO28" s="75"/>
      <c r="BP28" s="189"/>
      <c r="BQ28" s="189"/>
      <c r="BR28" s="189"/>
      <c r="BS28" s="189"/>
      <c r="BT28" s="75"/>
      <c r="BU28" s="75"/>
      <c r="BV28" s="189"/>
      <c r="BW28" s="189"/>
      <c r="BX28" s="189"/>
      <c r="BY28" s="189"/>
      <c r="BZ28" s="75"/>
      <c r="CA28" s="75"/>
      <c r="CB28" s="189"/>
      <c r="CC28" s="189"/>
      <c r="CD28" s="189"/>
      <c r="CE28" s="189"/>
      <c r="CF28" s="75"/>
      <c r="CG28" s="75"/>
      <c r="CH28" s="75"/>
      <c r="CI28" s="75"/>
      <c r="CJ28" s="75"/>
      <c r="CK28" s="75"/>
      <c r="CL28" s="75"/>
      <c r="CM28" s="75"/>
      <c r="CN28" s="75"/>
      <c r="CO28" s="75"/>
      <c r="CP28" s="75"/>
      <c r="CQ28" s="75"/>
      <c r="CR28" s="75"/>
      <c r="CS28" s="75"/>
      <c r="CT28" s="75"/>
      <c r="CU28" s="75"/>
      <c r="CV28" s="75"/>
      <c r="CW28" s="75"/>
      <c r="CX28" s="75"/>
      <c r="CY28" s="61"/>
      <c r="CZ28" s="53"/>
      <c r="DA28" s="53"/>
      <c r="DB28" s="53"/>
      <c r="DC28" s="53"/>
      <c r="DD28" s="53"/>
      <c r="DE28" s="56"/>
      <c r="DF28" s="53"/>
      <c r="DG28" s="79"/>
    </row>
    <row r="29" spans="1:111" s="65" customFormat="1" ht="6" customHeight="1" x14ac:dyDescent="0.25">
      <c r="A29" s="51"/>
      <c r="B29" s="8"/>
      <c r="C29" s="8"/>
      <c r="D29" s="143"/>
      <c r="E29" s="143"/>
      <c r="F29" s="143"/>
      <c r="G29" s="143"/>
      <c r="H29" s="143"/>
      <c r="I29" s="143"/>
      <c r="J29" s="143"/>
      <c r="K29" s="114"/>
      <c r="L29" s="114"/>
      <c r="M29" s="123"/>
      <c r="N29" s="123"/>
      <c r="O29" s="123"/>
      <c r="P29" s="123"/>
      <c r="Q29" s="75"/>
      <c r="R29" s="75"/>
      <c r="S29" s="75"/>
      <c r="T29" s="75"/>
      <c r="U29" s="75"/>
      <c r="V29" s="75"/>
      <c r="W29" s="75"/>
      <c r="X29" s="75"/>
      <c r="Y29" s="75"/>
      <c r="Z29" s="75"/>
      <c r="AA29" s="75"/>
      <c r="AB29" s="75"/>
      <c r="AC29" s="75"/>
      <c r="AD29" s="75"/>
      <c r="AE29" s="75"/>
      <c r="AF29" s="189"/>
      <c r="AG29" s="189"/>
      <c r="AH29" s="189"/>
      <c r="AI29" s="189"/>
      <c r="AJ29" s="75"/>
      <c r="AK29" s="75"/>
      <c r="AL29" s="189"/>
      <c r="AM29" s="189"/>
      <c r="AN29" s="189"/>
      <c r="AO29" s="189"/>
      <c r="AP29" s="75"/>
      <c r="AQ29" s="75"/>
      <c r="AR29" s="189"/>
      <c r="AS29" s="189"/>
      <c r="AT29" s="189"/>
      <c r="AU29" s="189"/>
      <c r="AV29" s="75"/>
      <c r="AW29" s="75"/>
      <c r="AX29" s="189"/>
      <c r="AY29" s="189"/>
      <c r="AZ29" s="189"/>
      <c r="BA29" s="189"/>
      <c r="BB29" s="75"/>
      <c r="BC29" s="75"/>
      <c r="BD29" s="189"/>
      <c r="BE29" s="189"/>
      <c r="BF29" s="189"/>
      <c r="BG29" s="189"/>
      <c r="BH29" s="75"/>
      <c r="BI29" s="75"/>
      <c r="BJ29" s="189"/>
      <c r="BK29" s="189"/>
      <c r="BL29" s="189"/>
      <c r="BM29" s="189"/>
      <c r="BN29" s="75"/>
      <c r="BO29" s="75"/>
      <c r="BP29" s="189"/>
      <c r="BQ29" s="189"/>
      <c r="BR29" s="189"/>
      <c r="BS29" s="189"/>
      <c r="BT29" s="75"/>
      <c r="BU29" s="75"/>
      <c r="BV29" s="189"/>
      <c r="BW29" s="189"/>
      <c r="BX29" s="189"/>
      <c r="BY29" s="189"/>
      <c r="BZ29" s="75"/>
      <c r="CA29" s="75"/>
      <c r="CB29" s="189"/>
      <c r="CC29" s="189"/>
      <c r="CD29" s="189"/>
      <c r="CE29" s="189"/>
      <c r="CF29" s="75"/>
      <c r="CG29" s="75"/>
      <c r="CH29" s="75"/>
      <c r="CI29" s="75"/>
      <c r="CJ29" s="75"/>
      <c r="CK29" s="75"/>
      <c r="CL29" s="75"/>
      <c r="CM29" s="75"/>
      <c r="CN29" s="75"/>
      <c r="CO29" s="75"/>
      <c r="CP29" s="75"/>
      <c r="CQ29" s="75"/>
      <c r="CR29" s="75"/>
      <c r="CS29" s="75"/>
      <c r="CT29" s="75"/>
      <c r="CU29" s="75"/>
      <c r="CV29" s="75"/>
      <c r="CW29" s="75"/>
      <c r="CX29" s="75"/>
      <c r="CY29" s="162" t="s">
        <v>0</v>
      </c>
      <c r="CZ29" s="152" t="s">
        <v>46</v>
      </c>
      <c r="DA29" s="152"/>
      <c r="DB29" s="152"/>
      <c r="DC29" s="152"/>
      <c r="DD29" s="152"/>
      <c r="DE29" s="113"/>
      <c r="DF29" s="53"/>
      <c r="DG29" s="79"/>
    </row>
    <row r="30" spans="1:111" s="65" customFormat="1" ht="6" customHeight="1" x14ac:dyDescent="0.25">
      <c r="A30" s="51"/>
      <c r="B30" s="8"/>
      <c r="C30" s="8"/>
      <c r="D30" s="144"/>
      <c r="E30" s="144"/>
      <c r="F30" s="144"/>
      <c r="G30" s="144"/>
      <c r="H30" s="144"/>
      <c r="I30" s="144"/>
      <c r="J30" s="144"/>
      <c r="K30" s="114"/>
      <c r="L30" s="114"/>
      <c r="M30" s="123"/>
      <c r="N30" s="123"/>
      <c r="O30" s="123"/>
      <c r="P30" s="123"/>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162"/>
      <c r="CZ30" s="152"/>
      <c r="DA30" s="152"/>
      <c r="DB30" s="152"/>
      <c r="DC30" s="152"/>
      <c r="DD30" s="152"/>
      <c r="DE30" s="113"/>
      <c r="DF30" s="53"/>
      <c r="DG30" s="79"/>
    </row>
    <row r="31" spans="1:111" s="65" customFormat="1" ht="6" customHeight="1" x14ac:dyDescent="0.25">
      <c r="A31" s="51"/>
      <c r="B31" s="8"/>
      <c r="C31" s="8"/>
      <c r="D31" s="93"/>
      <c r="E31" s="93"/>
      <c r="F31" s="93"/>
      <c r="G31" s="93"/>
      <c r="H31" s="114"/>
      <c r="I31" s="114"/>
      <c r="J31" s="114"/>
      <c r="K31" s="114"/>
      <c r="L31" s="114"/>
      <c r="M31" s="123"/>
      <c r="N31" s="123"/>
      <c r="O31" s="123"/>
      <c r="P31" s="123"/>
      <c r="Q31" s="75"/>
      <c r="R31" s="75"/>
      <c r="S31" s="75"/>
      <c r="T31" s="75"/>
      <c r="U31" s="75"/>
      <c r="V31" s="75"/>
      <c r="W31" s="75"/>
      <c r="X31" s="75"/>
      <c r="Y31" s="75"/>
      <c r="Z31" s="75"/>
      <c r="AA31" s="75"/>
      <c r="AB31" s="75"/>
      <c r="AC31" s="189"/>
      <c r="AD31" s="189"/>
      <c r="AE31" s="189"/>
      <c r="AF31" s="189"/>
      <c r="AG31" s="75"/>
      <c r="AH31" s="75"/>
      <c r="AI31" s="189"/>
      <c r="AJ31" s="189"/>
      <c r="AK31" s="189"/>
      <c r="AL31" s="189"/>
      <c r="AM31" s="75"/>
      <c r="AN31" s="75"/>
      <c r="AO31" s="189"/>
      <c r="AP31" s="189"/>
      <c r="AQ31" s="189"/>
      <c r="AR31" s="189"/>
      <c r="AS31" s="75"/>
      <c r="AT31" s="75"/>
      <c r="AU31" s="189"/>
      <c r="AV31" s="189"/>
      <c r="AW31" s="189"/>
      <c r="AX31" s="189"/>
      <c r="AY31" s="75"/>
      <c r="AZ31" s="75"/>
      <c r="BA31" s="189"/>
      <c r="BB31" s="189"/>
      <c r="BC31" s="189"/>
      <c r="BD31" s="189"/>
      <c r="BE31" s="75"/>
      <c r="BF31" s="75"/>
      <c r="BG31" s="189"/>
      <c r="BH31" s="189"/>
      <c r="BI31" s="189"/>
      <c r="BJ31" s="189"/>
      <c r="BK31" s="75"/>
      <c r="BL31" s="75"/>
      <c r="BM31" s="189"/>
      <c r="BN31" s="189"/>
      <c r="BO31" s="189"/>
      <c r="BP31" s="189"/>
      <c r="BQ31" s="75"/>
      <c r="BR31" s="75"/>
      <c r="BS31" s="189"/>
      <c r="BT31" s="189"/>
      <c r="BU31" s="189"/>
      <c r="BV31" s="189"/>
      <c r="BW31" s="75"/>
      <c r="BX31" s="75"/>
      <c r="BY31" s="189"/>
      <c r="BZ31" s="189"/>
      <c r="CA31" s="189"/>
      <c r="CB31" s="189"/>
      <c r="CC31" s="75"/>
      <c r="CD31" s="75"/>
      <c r="CE31" s="189"/>
      <c r="CF31" s="189"/>
      <c r="CG31" s="189"/>
      <c r="CH31" s="189"/>
      <c r="CI31" s="75"/>
      <c r="CJ31" s="75"/>
      <c r="CK31" s="75"/>
      <c r="CL31" s="75"/>
      <c r="CM31" s="75"/>
      <c r="CN31" s="75"/>
      <c r="CO31" s="75"/>
      <c r="CP31" s="75"/>
      <c r="CQ31" s="75"/>
      <c r="CR31" s="75"/>
      <c r="CS31" s="75"/>
      <c r="CT31" s="75"/>
      <c r="CU31" s="75"/>
      <c r="CV31" s="75"/>
      <c r="CW31" s="75"/>
      <c r="CX31" s="75"/>
      <c r="CY31" s="61"/>
      <c r="CZ31" s="53"/>
      <c r="DA31" s="53"/>
      <c r="DB31" s="53"/>
      <c r="DC31" s="53"/>
      <c r="DD31" s="53"/>
      <c r="DE31" s="56"/>
      <c r="DF31" s="53"/>
      <c r="DG31" s="79"/>
    </row>
    <row r="32" spans="1:111" s="65" customFormat="1" ht="6" customHeight="1" x14ac:dyDescent="0.25">
      <c r="A32" s="51"/>
      <c r="B32" s="8"/>
      <c r="C32" s="8"/>
      <c r="D32" s="143"/>
      <c r="E32" s="143"/>
      <c r="F32" s="143"/>
      <c r="G32" s="143"/>
      <c r="H32" s="143"/>
      <c r="I32" s="143"/>
      <c r="J32" s="143"/>
      <c r="K32" s="114"/>
      <c r="L32" s="114"/>
      <c r="M32" s="123"/>
      <c r="N32" s="123"/>
      <c r="O32" s="123"/>
      <c r="P32" s="123"/>
      <c r="Q32" s="75"/>
      <c r="R32" s="75"/>
      <c r="S32" s="75"/>
      <c r="T32" s="75"/>
      <c r="U32" s="75"/>
      <c r="V32" s="75"/>
      <c r="W32" s="75"/>
      <c r="X32" s="75"/>
      <c r="Y32" s="75"/>
      <c r="Z32" s="75"/>
      <c r="AA32" s="75"/>
      <c r="AB32" s="75"/>
      <c r="AC32" s="189"/>
      <c r="AD32" s="189"/>
      <c r="AE32" s="189"/>
      <c r="AF32" s="189"/>
      <c r="AG32" s="75"/>
      <c r="AH32" s="75"/>
      <c r="AI32" s="189"/>
      <c r="AJ32" s="189"/>
      <c r="AK32" s="189"/>
      <c r="AL32" s="189"/>
      <c r="AM32" s="75"/>
      <c r="AN32" s="75"/>
      <c r="AO32" s="189"/>
      <c r="AP32" s="189"/>
      <c r="AQ32" s="189"/>
      <c r="AR32" s="189"/>
      <c r="AS32" s="75"/>
      <c r="AT32" s="75"/>
      <c r="AU32" s="189"/>
      <c r="AV32" s="189"/>
      <c r="AW32" s="189"/>
      <c r="AX32" s="189"/>
      <c r="AY32" s="75"/>
      <c r="AZ32" s="75"/>
      <c r="BA32" s="189"/>
      <c r="BB32" s="189"/>
      <c r="BC32" s="189"/>
      <c r="BD32" s="189"/>
      <c r="BE32" s="75"/>
      <c r="BF32" s="75"/>
      <c r="BG32" s="189"/>
      <c r="BH32" s="189"/>
      <c r="BI32" s="189"/>
      <c r="BJ32" s="189"/>
      <c r="BK32" s="75"/>
      <c r="BL32" s="75"/>
      <c r="BM32" s="189"/>
      <c r="BN32" s="189"/>
      <c r="BO32" s="189"/>
      <c r="BP32" s="189"/>
      <c r="BQ32" s="75"/>
      <c r="BR32" s="75"/>
      <c r="BS32" s="189"/>
      <c r="BT32" s="189"/>
      <c r="BU32" s="189"/>
      <c r="BV32" s="189"/>
      <c r="BW32" s="75"/>
      <c r="BX32" s="75"/>
      <c r="BY32" s="189"/>
      <c r="BZ32" s="189"/>
      <c r="CA32" s="189"/>
      <c r="CB32" s="189"/>
      <c r="CC32" s="75"/>
      <c r="CD32" s="75"/>
      <c r="CE32" s="189"/>
      <c r="CF32" s="189"/>
      <c r="CG32" s="189"/>
      <c r="CH32" s="189"/>
      <c r="CI32" s="75"/>
      <c r="CJ32" s="75"/>
      <c r="CK32" s="75"/>
      <c r="CL32" s="75"/>
      <c r="CM32" s="75"/>
      <c r="CN32" s="75"/>
      <c r="CO32" s="75"/>
      <c r="CP32" s="75"/>
      <c r="CQ32" s="75"/>
      <c r="CR32" s="75"/>
      <c r="CS32" s="75"/>
      <c r="CT32" s="75"/>
      <c r="CU32" s="75"/>
      <c r="CV32" s="75"/>
      <c r="CW32" s="75"/>
      <c r="CX32" s="75"/>
      <c r="CY32" s="162" t="s">
        <v>5</v>
      </c>
      <c r="CZ32" s="152" t="s">
        <v>47</v>
      </c>
      <c r="DA32" s="152"/>
      <c r="DB32" s="152"/>
      <c r="DC32" s="152"/>
      <c r="DD32" s="152"/>
      <c r="DE32" s="113"/>
      <c r="DF32" s="53"/>
      <c r="DG32" s="79"/>
    </row>
    <row r="33" spans="1:111" s="65" customFormat="1" ht="6" customHeight="1" x14ac:dyDescent="0.25">
      <c r="A33" s="51"/>
      <c r="B33" s="8"/>
      <c r="C33" s="8"/>
      <c r="D33" s="144"/>
      <c r="E33" s="144"/>
      <c r="F33" s="144"/>
      <c r="G33" s="144"/>
      <c r="H33" s="144"/>
      <c r="I33" s="144"/>
      <c r="J33" s="144"/>
      <c r="K33" s="114"/>
      <c r="L33" s="114"/>
      <c r="M33" s="123"/>
      <c r="N33" s="123"/>
      <c r="O33" s="123"/>
      <c r="P33" s="123"/>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75"/>
      <c r="CU33" s="75"/>
      <c r="CV33" s="75"/>
      <c r="CW33" s="75"/>
      <c r="CX33" s="75"/>
      <c r="CY33" s="162"/>
      <c r="CZ33" s="152"/>
      <c r="DA33" s="152"/>
      <c r="DB33" s="152"/>
      <c r="DC33" s="152"/>
      <c r="DD33" s="152"/>
      <c r="DE33" s="113"/>
      <c r="DF33" s="53"/>
      <c r="DG33" s="79"/>
    </row>
    <row r="34" spans="1:111" s="65" customFormat="1" ht="6" customHeight="1" x14ac:dyDescent="0.25">
      <c r="A34" s="114"/>
      <c r="B34" s="114"/>
      <c r="C34" s="114"/>
      <c r="D34" s="114"/>
      <c r="E34" s="114"/>
      <c r="F34" s="114"/>
      <c r="G34" s="114"/>
      <c r="H34" s="114"/>
      <c r="I34" s="114"/>
      <c r="J34" s="114"/>
      <c r="K34" s="114"/>
      <c r="L34" s="114"/>
      <c r="M34" s="123"/>
      <c r="N34" s="123"/>
      <c r="O34" s="123"/>
      <c r="P34" s="123"/>
      <c r="Q34" s="75"/>
      <c r="R34" s="75"/>
      <c r="S34" s="75"/>
      <c r="T34" s="75"/>
      <c r="U34" s="75"/>
      <c r="V34" s="75"/>
      <c r="W34" s="75"/>
      <c r="X34" s="75"/>
      <c r="Y34" s="75"/>
      <c r="Z34" s="189"/>
      <c r="AA34" s="189"/>
      <c r="AB34" s="189"/>
      <c r="AC34" s="189"/>
      <c r="AD34" s="75"/>
      <c r="AE34" s="75"/>
      <c r="AF34" s="189"/>
      <c r="AG34" s="189"/>
      <c r="AH34" s="189"/>
      <c r="AI34" s="189"/>
      <c r="AJ34" s="75"/>
      <c r="AK34" s="75"/>
      <c r="AL34" s="189"/>
      <c r="AM34" s="189"/>
      <c r="AN34" s="189"/>
      <c r="AO34" s="189"/>
      <c r="AP34" s="75"/>
      <c r="AQ34" s="75"/>
      <c r="AR34" s="189"/>
      <c r="AS34" s="189"/>
      <c r="AT34" s="189"/>
      <c r="AU34" s="189"/>
      <c r="AV34" s="75"/>
      <c r="AW34" s="75"/>
      <c r="AX34" s="189"/>
      <c r="AY34" s="189"/>
      <c r="AZ34" s="189"/>
      <c r="BA34" s="189"/>
      <c r="BB34" s="75"/>
      <c r="BC34" s="75"/>
      <c r="BD34" s="189"/>
      <c r="BE34" s="189"/>
      <c r="BF34" s="189"/>
      <c r="BG34" s="189"/>
      <c r="BH34" s="75"/>
      <c r="BI34" s="75"/>
      <c r="BJ34" s="189"/>
      <c r="BK34" s="189"/>
      <c r="BL34" s="189"/>
      <c r="BM34" s="189"/>
      <c r="BN34" s="75"/>
      <c r="BO34" s="75"/>
      <c r="BP34" s="189"/>
      <c r="BQ34" s="189"/>
      <c r="BR34" s="189"/>
      <c r="BS34" s="189"/>
      <c r="BT34" s="75"/>
      <c r="BU34" s="75"/>
      <c r="BV34" s="189"/>
      <c r="BW34" s="189"/>
      <c r="BX34" s="189"/>
      <c r="BY34" s="189"/>
      <c r="BZ34" s="75"/>
      <c r="CA34" s="75"/>
      <c r="CB34" s="189"/>
      <c r="CC34" s="189"/>
      <c r="CD34" s="189"/>
      <c r="CE34" s="189"/>
      <c r="CF34" s="75"/>
      <c r="CG34" s="75"/>
      <c r="CH34" s="189"/>
      <c r="CI34" s="189"/>
      <c r="CJ34" s="189"/>
      <c r="CK34" s="189"/>
      <c r="CL34" s="75"/>
      <c r="CM34" s="75"/>
      <c r="CN34" s="75"/>
      <c r="CO34" s="75"/>
      <c r="CP34" s="75"/>
      <c r="CQ34" s="75"/>
      <c r="CR34" s="75"/>
      <c r="CS34" s="75"/>
      <c r="CT34" s="75"/>
      <c r="CU34" s="75"/>
      <c r="CV34" s="75"/>
      <c r="CW34" s="75"/>
      <c r="CX34" s="75"/>
      <c r="CY34" s="62"/>
      <c r="CZ34" s="63"/>
      <c r="DA34" s="63"/>
      <c r="DB34" s="63"/>
      <c r="DC34" s="63"/>
      <c r="DD34" s="63"/>
      <c r="DE34" s="64"/>
      <c r="DF34" s="53"/>
      <c r="DG34" s="79"/>
    </row>
    <row r="35" spans="1:111" s="65" customFormat="1" ht="6" customHeight="1" x14ac:dyDescent="0.25">
      <c r="A35" s="114"/>
      <c r="B35" s="114"/>
      <c r="C35" s="114"/>
      <c r="D35" s="114"/>
      <c r="E35" s="114"/>
      <c r="F35" s="114"/>
      <c r="G35" s="114"/>
      <c r="H35" s="114"/>
      <c r="I35" s="114"/>
      <c r="J35" s="114"/>
      <c r="K35" s="114"/>
      <c r="L35" s="114"/>
      <c r="M35" s="123"/>
      <c r="N35" s="123"/>
      <c r="O35" s="123"/>
      <c r="P35" s="123"/>
      <c r="Q35" s="75"/>
      <c r="R35" s="75"/>
      <c r="S35" s="75"/>
      <c r="T35" s="75"/>
      <c r="U35" s="75"/>
      <c r="V35" s="75"/>
      <c r="W35" s="75"/>
      <c r="X35" s="75"/>
      <c r="Y35" s="75"/>
      <c r="Z35" s="189"/>
      <c r="AA35" s="189"/>
      <c r="AB35" s="189"/>
      <c r="AC35" s="189"/>
      <c r="AD35" s="75"/>
      <c r="AE35" s="75"/>
      <c r="AF35" s="189"/>
      <c r="AG35" s="189"/>
      <c r="AH35" s="189"/>
      <c r="AI35" s="189"/>
      <c r="AJ35" s="75"/>
      <c r="AK35" s="75"/>
      <c r="AL35" s="189"/>
      <c r="AM35" s="189"/>
      <c r="AN35" s="189"/>
      <c r="AO35" s="189"/>
      <c r="AP35" s="75"/>
      <c r="AQ35" s="75"/>
      <c r="AR35" s="189"/>
      <c r="AS35" s="189"/>
      <c r="AT35" s="189"/>
      <c r="AU35" s="189"/>
      <c r="AV35" s="75"/>
      <c r="AW35" s="75"/>
      <c r="AX35" s="189"/>
      <c r="AY35" s="189"/>
      <c r="AZ35" s="189"/>
      <c r="BA35" s="189"/>
      <c r="BB35" s="75"/>
      <c r="BC35" s="75"/>
      <c r="BD35" s="189"/>
      <c r="BE35" s="189"/>
      <c r="BF35" s="189"/>
      <c r="BG35" s="189"/>
      <c r="BH35" s="75"/>
      <c r="BI35" s="75"/>
      <c r="BJ35" s="189"/>
      <c r="BK35" s="189"/>
      <c r="BL35" s="189"/>
      <c r="BM35" s="189"/>
      <c r="BN35" s="75"/>
      <c r="BO35" s="75"/>
      <c r="BP35" s="189"/>
      <c r="BQ35" s="189"/>
      <c r="BR35" s="189"/>
      <c r="BS35" s="189"/>
      <c r="BT35" s="75"/>
      <c r="BU35" s="75"/>
      <c r="BV35" s="189"/>
      <c r="BW35" s="189"/>
      <c r="BX35" s="189"/>
      <c r="BY35" s="189"/>
      <c r="BZ35" s="75"/>
      <c r="CA35" s="75"/>
      <c r="CB35" s="189"/>
      <c r="CC35" s="189"/>
      <c r="CD35" s="189"/>
      <c r="CE35" s="189"/>
      <c r="CF35" s="75"/>
      <c r="CG35" s="75"/>
      <c r="CH35" s="189"/>
      <c r="CI35" s="189"/>
      <c r="CJ35" s="189"/>
      <c r="CK35" s="189"/>
      <c r="CL35" s="75"/>
      <c r="CM35" s="75"/>
      <c r="CN35" s="75"/>
      <c r="CO35" s="75"/>
      <c r="CP35" s="75"/>
      <c r="CQ35" s="75"/>
      <c r="CR35" s="75"/>
      <c r="CS35" s="75"/>
      <c r="CT35" s="75"/>
      <c r="CU35" s="75"/>
      <c r="CV35" s="75"/>
      <c r="CW35" s="75"/>
      <c r="CX35" s="75"/>
      <c r="CY35" s="123"/>
      <c r="CZ35" s="114"/>
      <c r="DA35" s="114"/>
      <c r="DB35" s="114"/>
      <c r="DC35" s="114"/>
      <c r="DD35" s="114"/>
      <c r="DE35" s="114"/>
      <c r="DF35" s="53"/>
      <c r="DG35" s="79"/>
    </row>
    <row r="36" spans="1:111" s="65" customFormat="1" ht="6" customHeight="1" x14ac:dyDescent="0.25">
      <c r="A36" s="114"/>
      <c r="B36" s="114"/>
      <c r="C36" s="114"/>
      <c r="D36" s="114"/>
      <c r="E36" s="114"/>
      <c r="F36" s="114"/>
      <c r="G36" s="114"/>
      <c r="H36" s="123"/>
      <c r="I36" s="123"/>
      <c r="J36" s="123"/>
      <c r="K36" s="123"/>
      <c r="L36" s="123"/>
      <c r="M36" s="123"/>
      <c r="N36" s="123"/>
      <c r="O36" s="123"/>
      <c r="P36" s="123"/>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123"/>
      <c r="CZ36" s="114"/>
      <c r="DA36" s="114"/>
      <c r="DB36" s="114"/>
      <c r="DC36" s="114"/>
      <c r="DD36" s="114"/>
      <c r="DE36" s="114"/>
      <c r="DF36" s="51"/>
      <c r="DG36" s="79"/>
    </row>
    <row r="37" spans="1:111" s="65" customFormat="1" ht="6" customHeight="1" x14ac:dyDescent="0.25">
      <c r="A37" s="114"/>
      <c r="B37" s="114"/>
      <c r="C37" s="114"/>
      <c r="D37" s="114"/>
      <c r="E37" s="114"/>
      <c r="F37" s="114"/>
      <c r="G37" s="114"/>
      <c r="H37" s="123"/>
      <c r="I37" s="123"/>
      <c r="J37" s="123"/>
      <c r="K37" s="123"/>
      <c r="L37" s="123"/>
      <c r="M37" s="123"/>
      <c r="N37" s="123"/>
      <c r="O37" s="123"/>
      <c r="P37" s="123"/>
      <c r="Q37" s="75"/>
      <c r="R37" s="75"/>
      <c r="S37" s="75"/>
      <c r="T37" s="75"/>
      <c r="U37" s="75"/>
      <c r="V37" s="75"/>
      <c r="W37" s="189"/>
      <c r="X37" s="189"/>
      <c r="Y37" s="189"/>
      <c r="Z37" s="189"/>
      <c r="AA37" s="75"/>
      <c r="AB37" s="75"/>
      <c r="AC37" s="189"/>
      <c r="AD37" s="189"/>
      <c r="AE37" s="189"/>
      <c r="AF37" s="189"/>
      <c r="AG37" s="75"/>
      <c r="AH37" s="75"/>
      <c r="AI37" s="189"/>
      <c r="AJ37" s="189"/>
      <c r="AK37" s="189"/>
      <c r="AL37" s="189"/>
      <c r="AM37" s="75"/>
      <c r="AN37" s="75"/>
      <c r="AO37" s="189"/>
      <c r="AP37" s="189"/>
      <c r="AQ37" s="189"/>
      <c r="AR37" s="189"/>
      <c r="AS37" s="75"/>
      <c r="AT37" s="75"/>
      <c r="AU37" s="189"/>
      <c r="AV37" s="189"/>
      <c r="AW37" s="189"/>
      <c r="AX37" s="189"/>
      <c r="AY37" s="75"/>
      <c r="AZ37" s="75"/>
      <c r="BA37" s="189"/>
      <c r="BB37" s="189"/>
      <c r="BC37" s="189"/>
      <c r="BD37" s="189"/>
      <c r="BE37" s="75"/>
      <c r="BF37" s="75"/>
      <c r="BG37" s="189"/>
      <c r="BH37" s="189"/>
      <c r="BI37" s="189"/>
      <c r="BJ37" s="189"/>
      <c r="BK37" s="75"/>
      <c r="BL37" s="75"/>
      <c r="BM37" s="189"/>
      <c r="BN37" s="189"/>
      <c r="BO37" s="189"/>
      <c r="BP37" s="189"/>
      <c r="BQ37" s="75"/>
      <c r="BR37" s="75"/>
      <c r="BS37" s="189"/>
      <c r="BT37" s="189"/>
      <c r="BU37" s="189"/>
      <c r="BV37" s="189"/>
      <c r="BW37" s="75"/>
      <c r="BX37" s="75"/>
      <c r="BY37" s="189"/>
      <c r="BZ37" s="189"/>
      <c r="CA37" s="189"/>
      <c r="CB37" s="189"/>
      <c r="CC37" s="75"/>
      <c r="CD37" s="75"/>
      <c r="CE37" s="189"/>
      <c r="CF37" s="189"/>
      <c r="CG37" s="189"/>
      <c r="CH37" s="189"/>
      <c r="CI37" s="75"/>
      <c r="CJ37" s="75"/>
      <c r="CK37" s="189"/>
      <c r="CL37" s="189"/>
      <c r="CM37" s="189"/>
      <c r="CN37" s="189"/>
      <c r="CO37" s="75"/>
      <c r="CP37" s="75"/>
      <c r="CQ37" s="75"/>
      <c r="CR37" s="75"/>
      <c r="CS37" s="75"/>
      <c r="CT37" s="75"/>
      <c r="CU37" s="75"/>
      <c r="CV37" s="75"/>
      <c r="CW37" s="75"/>
      <c r="CX37" s="75"/>
      <c r="CY37" s="123"/>
      <c r="CZ37" s="114"/>
      <c r="DA37" s="114"/>
      <c r="DB37" s="114"/>
      <c r="DC37" s="114"/>
      <c r="DD37" s="114"/>
      <c r="DE37" s="114"/>
      <c r="DF37" s="51"/>
      <c r="DG37" s="79"/>
    </row>
    <row r="38" spans="1:111" s="65" customFormat="1" ht="6" customHeight="1" x14ac:dyDescent="0.25">
      <c r="A38" s="114"/>
      <c r="B38" s="114"/>
      <c r="C38" s="114"/>
      <c r="D38" s="114"/>
      <c r="E38" s="114"/>
      <c r="F38" s="114"/>
      <c r="G38" s="114"/>
      <c r="H38" s="123"/>
      <c r="I38" s="123"/>
      <c r="J38" s="123"/>
      <c r="K38" s="123"/>
      <c r="L38" s="123"/>
      <c r="M38" s="123"/>
      <c r="N38" s="123"/>
      <c r="O38" s="123"/>
      <c r="P38" s="75"/>
      <c r="Q38" s="75"/>
      <c r="R38" s="75"/>
      <c r="S38" s="75"/>
      <c r="T38" s="75"/>
      <c r="U38" s="75"/>
      <c r="V38" s="75"/>
      <c r="W38" s="189"/>
      <c r="X38" s="189"/>
      <c r="Y38" s="189"/>
      <c r="Z38" s="189"/>
      <c r="AA38" s="75"/>
      <c r="AB38" s="75"/>
      <c r="AC38" s="189"/>
      <c r="AD38" s="189"/>
      <c r="AE38" s="189"/>
      <c r="AF38" s="189"/>
      <c r="AG38" s="75"/>
      <c r="AH38" s="75"/>
      <c r="AI38" s="189"/>
      <c r="AJ38" s="189"/>
      <c r="AK38" s="189"/>
      <c r="AL38" s="189"/>
      <c r="AM38" s="75"/>
      <c r="AN38" s="75"/>
      <c r="AO38" s="189"/>
      <c r="AP38" s="189"/>
      <c r="AQ38" s="189"/>
      <c r="AR38" s="189"/>
      <c r="AS38" s="75"/>
      <c r="AT38" s="75"/>
      <c r="AU38" s="189"/>
      <c r="AV38" s="189"/>
      <c r="AW38" s="189"/>
      <c r="AX38" s="189"/>
      <c r="AY38" s="75"/>
      <c r="AZ38" s="75"/>
      <c r="BA38" s="189"/>
      <c r="BB38" s="189"/>
      <c r="BC38" s="189"/>
      <c r="BD38" s="189"/>
      <c r="BE38" s="75"/>
      <c r="BF38" s="75"/>
      <c r="BG38" s="189"/>
      <c r="BH38" s="189"/>
      <c r="BI38" s="189"/>
      <c r="BJ38" s="189"/>
      <c r="BK38" s="75"/>
      <c r="BL38" s="75"/>
      <c r="BM38" s="189"/>
      <c r="BN38" s="189"/>
      <c r="BO38" s="189"/>
      <c r="BP38" s="189"/>
      <c r="BQ38" s="75"/>
      <c r="BR38" s="75"/>
      <c r="BS38" s="189"/>
      <c r="BT38" s="189"/>
      <c r="BU38" s="189"/>
      <c r="BV38" s="189"/>
      <c r="BW38" s="75"/>
      <c r="BX38" s="75"/>
      <c r="BY38" s="189"/>
      <c r="BZ38" s="189"/>
      <c r="CA38" s="189"/>
      <c r="CB38" s="189"/>
      <c r="CC38" s="124"/>
      <c r="CD38" s="75"/>
      <c r="CE38" s="189"/>
      <c r="CF38" s="189"/>
      <c r="CG38" s="189"/>
      <c r="CH38" s="189"/>
      <c r="CI38" s="75"/>
      <c r="CJ38" s="75"/>
      <c r="CK38" s="189"/>
      <c r="CL38" s="189"/>
      <c r="CM38" s="189"/>
      <c r="CN38" s="189"/>
      <c r="CO38" s="75"/>
      <c r="CP38" s="75"/>
      <c r="CQ38" s="75"/>
      <c r="CR38" s="75"/>
      <c r="CS38" s="75"/>
      <c r="CT38" s="75"/>
      <c r="CU38" s="75"/>
      <c r="CV38" s="75"/>
      <c r="CW38" s="75"/>
      <c r="CX38" s="75"/>
      <c r="CY38" s="123"/>
      <c r="CZ38" s="114"/>
      <c r="DA38" s="114"/>
      <c r="DB38" s="114"/>
      <c r="DC38" s="114"/>
      <c r="DD38" s="114"/>
      <c r="DE38" s="51"/>
      <c r="DF38" s="51"/>
    </row>
    <row r="39" spans="1:111" s="65" customFormat="1" ht="6" customHeight="1" x14ac:dyDescent="0.25">
      <c r="A39" s="114"/>
      <c r="B39" s="114"/>
      <c r="C39" s="114"/>
      <c r="D39" s="114"/>
      <c r="E39" s="114"/>
      <c r="F39" s="114"/>
      <c r="G39" s="114"/>
      <c r="H39" s="123"/>
      <c r="I39" s="123"/>
      <c r="J39" s="123"/>
      <c r="K39" s="123"/>
      <c r="L39" s="123"/>
      <c r="M39" s="123"/>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5"/>
      <c r="CG39" s="75"/>
      <c r="CH39" s="75"/>
      <c r="CI39" s="75"/>
      <c r="CJ39" s="75"/>
      <c r="CK39" s="75"/>
      <c r="CL39" s="75"/>
      <c r="CM39" s="75"/>
      <c r="CN39" s="75"/>
      <c r="CO39" s="75"/>
      <c r="CP39" s="75"/>
      <c r="CQ39" s="75"/>
      <c r="CR39" s="75"/>
      <c r="CS39" s="75"/>
      <c r="CT39" s="75"/>
      <c r="CU39" s="75"/>
      <c r="CV39" s="75"/>
      <c r="CW39" s="75"/>
      <c r="CX39" s="75"/>
      <c r="CY39" s="123"/>
      <c r="CZ39" s="114"/>
      <c r="DA39" s="114"/>
      <c r="DB39" s="114"/>
      <c r="DC39" s="114"/>
      <c r="DD39" s="114"/>
      <c r="DE39" s="51"/>
      <c r="DF39" s="51"/>
    </row>
    <row r="40" spans="1:111" s="65" customFormat="1" ht="6" customHeight="1" x14ac:dyDescent="0.25">
      <c r="A40" s="114"/>
      <c r="B40" s="114"/>
      <c r="C40" s="114"/>
      <c r="D40" s="114"/>
      <c r="E40" s="114"/>
      <c r="F40" s="114"/>
      <c r="G40" s="114"/>
      <c r="H40" s="123"/>
      <c r="I40" s="123"/>
      <c r="J40" s="123"/>
      <c r="K40" s="123"/>
      <c r="L40" s="123"/>
      <c r="M40" s="123"/>
      <c r="N40" s="75"/>
      <c r="O40" s="75"/>
      <c r="P40" s="75"/>
      <c r="Q40" s="75"/>
      <c r="R40" s="75"/>
      <c r="S40" s="75"/>
      <c r="T40" s="189"/>
      <c r="U40" s="189"/>
      <c r="V40" s="189"/>
      <c r="W40" s="189"/>
      <c r="X40" s="75"/>
      <c r="Y40" s="75"/>
      <c r="Z40" s="189"/>
      <c r="AA40" s="189"/>
      <c r="AB40" s="189"/>
      <c r="AC40" s="189"/>
      <c r="AD40" s="75"/>
      <c r="AE40" s="75"/>
      <c r="AF40" s="189"/>
      <c r="AG40" s="189"/>
      <c r="AH40" s="189"/>
      <c r="AI40" s="189"/>
      <c r="AJ40" s="75"/>
      <c r="AK40" s="75"/>
      <c r="AL40" s="189"/>
      <c r="AM40" s="189"/>
      <c r="AN40" s="189"/>
      <c r="AO40" s="189"/>
      <c r="AP40" s="75"/>
      <c r="AQ40" s="75"/>
      <c r="AR40" s="189"/>
      <c r="AS40" s="189"/>
      <c r="AT40" s="189"/>
      <c r="AU40" s="189"/>
      <c r="AV40" s="75"/>
      <c r="AW40" s="75"/>
      <c r="AX40" s="189"/>
      <c r="AY40" s="189"/>
      <c r="AZ40" s="189"/>
      <c r="BA40" s="189"/>
      <c r="BB40" s="75"/>
      <c r="BC40" s="75"/>
      <c r="BD40" s="189"/>
      <c r="BE40" s="189"/>
      <c r="BF40" s="189"/>
      <c r="BG40" s="189"/>
      <c r="BH40" s="75"/>
      <c r="BI40" s="75"/>
      <c r="BJ40" s="189"/>
      <c r="BK40" s="189"/>
      <c r="BL40" s="189"/>
      <c r="BM40" s="189"/>
      <c r="BN40" s="75"/>
      <c r="BO40" s="75"/>
      <c r="BP40" s="189"/>
      <c r="BQ40" s="189"/>
      <c r="BR40" s="189"/>
      <c r="BS40" s="189"/>
      <c r="BT40" s="75"/>
      <c r="BU40" s="75"/>
      <c r="BV40" s="189"/>
      <c r="BW40" s="189"/>
      <c r="BX40" s="189"/>
      <c r="BY40" s="189"/>
      <c r="BZ40" s="75"/>
      <c r="CA40" s="75"/>
      <c r="CB40" s="189"/>
      <c r="CC40" s="189"/>
      <c r="CD40" s="189"/>
      <c r="CE40" s="189"/>
      <c r="CF40" s="75"/>
      <c r="CG40" s="75"/>
      <c r="CH40" s="189"/>
      <c r="CI40" s="189"/>
      <c r="CJ40" s="189"/>
      <c r="CK40" s="189"/>
      <c r="CL40" s="75"/>
      <c r="CM40" s="75"/>
      <c r="CN40" s="189"/>
      <c r="CO40" s="189"/>
      <c r="CP40" s="189"/>
      <c r="CQ40" s="189"/>
      <c r="CR40" s="75"/>
      <c r="CS40" s="75"/>
      <c r="CT40" s="75"/>
      <c r="CU40" s="75"/>
      <c r="CV40" s="75"/>
      <c r="CW40" s="75"/>
      <c r="CX40" s="75"/>
      <c r="CY40" s="53"/>
      <c r="CZ40" s="51"/>
      <c r="DA40" s="51"/>
      <c r="DB40" s="51"/>
      <c r="DC40" s="51"/>
      <c r="DD40" s="51"/>
      <c r="DE40" s="51"/>
      <c r="DF40" s="51"/>
    </row>
    <row r="41" spans="1:111" s="65" customFormat="1" ht="6" customHeight="1" x14ac:dyDescent="0.25">
      <c r="A41" s="51"/>
      <c r="B41" s="114"/>
      <c r="C41" s="114"/>
      <c r="D41" s="114"/>
      <c r="E41" s="114"/>
      <c r="F41" s="114"/>
      <c r="G41" s="114"/>
      <c r="H41" s="123"/>
      <c r="I41" s="123"/>
      <c r="J41" s="123"/>
      <c r="K41" s="123"/>
      <c r="L41" s="123"/>
      <c r="M41" s="123"/>
      <c r="N41" s="75"/>
      <c r="O41" s="75"/>
      <c r="P41" s="75"/>
      <c r="Q41" s="75"/>
      <c r="R41" s="75"/>
      <c r="S41" s="75"/>
      <c r="T41" s="189"/>
      <c r="U41" s="189"/>
      <c r="V41" s="189"/>
      <c r="W41" s="189"/>
      <c r="X41" s="75"/>
      <c r="Y41" s="75"/>
      <c r="Z41" s="189"/>
      <c r="AA41" s="189"/>
      <c r="AB41" s="189"/>
      <c r="AC41" s="189"/>
      <c r="AD41" s="75"/>
      <c r="AE41" s="75"/>
      <c r="AF41" s="189"/>
      <c r="AG41" s="189"/>
      <c r="AH41" s="189"/>
      <c r="AI41" s="189"/>
      <c r="AJ41" s="75"/>
      <c r="AK41" s="75"/>
      <c r="AL41" s="189"/>
      <c r="AM41" s="189"/>
      <c r="AN41" s="189"/>
      <c r="AO41" s="189"/>
      <c r="AP41" s="75"/>
      <c r="AQ41" s="75"/>
      <c r="AR41" s="189"/>
      <c r="AS41" s="189"/>
      <c r="AT41" s="189"/>
      <c r="AU41" s="189"/>
      <c r="AV41" s="75"/>
      <c r="AW41" s="75"/>
      <c r="AX41" s="189"/>
      <c r="AY41" s="189"/>
      <c r="AZ41" s="189"/>
      <c r="BA41" s="189"/>
      <c r="BB41" s="75"/>
      <c r="BC41" s="75"/>
      <c r="BD41" s="189"/>
      <c r="BE41" s="189"/>
      <c r="BF41" s="189"/>
      <c r="BG41" s="189"/>
      <c r="BH41" s="75"/>
      <c r="BI41" s="75"/>
      <c r="BJ41" s="189"/>
      <c r="BK41" s="189"/>
      <c r="BL41" s="189"/>
      <c r="BM41" s="189"/>
      <c r="BN41" s="75"/>
      <c r="BO41" s="75"/>
      <c r="BP41" s="189"/>
      <c r="BQ41" s="189"/>
      <c r="BR41" s="189"/>
      <c r="BS41" s="189"/>
      <c r="BT41" s="75"/>
      <c r="BU41" s="75"/>
      <c r="BV41" s="189"/>
      <c r="BW41" s="189"/>
      <c r="BX41" s="189"/>
      <c r="BY41" s="189"/>
      <c r="BZ41" s="75"/>
      <c r="CA41" s="75"/>
      <c r="CB41" s="189"/>
      <c r="CC41" s="189"/>
      <c r="CD41" s="189"/>
      <c r="CE41" s="189"/>
      <c r="CF41" s="75"/>
      <c r="CG41" s="75"/>
      <c r="CH41" s="189"/>
      <c r="CI41" s="189"/>
      <c r="CJ41" s="189"/>
      <c r="CK41" s="189"/>
      <c r="CL41" s="75"/>
      <c r="CM41" s="75"/>
      <c r="CN41" s="189"/>
      <c r="CO41" s="189"/>
      <c r="CP41" s="189"/>
      <c r="CQ41" s="189"/>
      <c r="CR41" s="75"/>
      <c r="CS41" s="75"/>
      <c r="CT41" s="75"/>
      <c r="CU41" s="75"/>
      <c r="CV41" s="75"/>
      <c r="CW41" s="75"/>
      <c r="CX41" s="75"/>
      <c r="CY41" s="53"/>
      <c r="CZ41" s="51"/>
      <c r="DA41" s="51"/>
      <c r="DB41" s="51"/>
      <c r="DC41" s="51"/>
      <c r="DD41" s="51"/>
      <c r="DE41" s="51"/>
      <c r="DF41" s="51"/>
    </row>
    <row r="42" spans="1:111" s="65" customFormat="1" ht="6" customHeight="1" x14ac:dyDescent="0.25">
      <c r="A42" s="51"/>
      <c r="B42" s="114"/>
      <c r="C42" s="114"/>
      <c r="D42" s="114"/>
      <c r="E42" s="114"/>
      <c r="F42" s="114"/>
      <c r="G42" s="114"/>
      <c r="H42" s="123"/>
      <c r="I42" s="123"/>
      <c r="J42" s="123"/>
      <c r="K42" s="123"/>
      <c r="L42" s="123"/>
      <c r="M42" s="123"/>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53"/>
      <c r="CZ42" s="51"/>
      <c r="DA42" s="51"/>
      <c r="DB42" s="51"/>
      <c r="DC42" s="51"/>
      <c r="DD42" s="51"/>
      <c r="DE42" s="51"/>
      <c r="DF42" s="51"/>
    </row>
    <row r="43" spans="1:111" s="65" customFormat="1" ht="6" customHeight="1" x14ac:dyDescent="0.25">
      <c r="A43" s="51"/>
      <c r="B43" s="51"/>
      <c r="C43" s="51"/>
      <c r="D43" s="52"/>
      <c r="E43" s="114"/>
      <c r="F43" s="114"/>
      <c r="G43" s="114"/>
      <c r="H43" s="123"/>
      <c r="I43" s="123"/>
      <c r="J43" s="123"/>
      <c r="K43" s="123"/>
      <c r="L43" s="123"/>
      <c r="M43" s="123"/>
      <c r="N43" s="75"/>
      <c r="O43" s="75"/>
      <c r="P43" s="75"/>
      <c r="Q43" s="189"/>
      <c r="R43" s="189"/>
      <c r="S43" s="189"/>
      <c r="T43" s="189"/>
      <c r="U43" s="75"/>
      <c r="V43" s="75"/>
      <c r="W43" s="189"/>
      <c r="X43" s="189"/>
      <c r="Y43" s="189"/>
      <c r="Z43" s="189"/>
      <c r="AA43" s="75"/>
      <c r="AB43" s="75"/>
      <c r="AC43" s="189"/>
      <c r="AD43" s="189"/>
      <c r="AE43" s="189"/>
      <c r="AF43" s="189"/>
      <c r="AG43" s="75"/>
      <c r="AH43" s="75"/>
      <c r="AI43" s="189"/>
      <c r="AJ43" s="189"/>
      <c r="AK43" s="189"/>
      <c r="AL43" s="189"/>
      <c r="AM43" s="75"/>
      <c r="AN43" s="75"/>
      <c r="AO43" s="189"/>
      <c r="AP43" s="189"/>
      <c r="AQ43" s="189"/>
      <c r="AR43" s="189"/>
      <c r="AS43" s="75"/>
      <c r="AT43" s="75"/>
      <c r="AU43" s="189"/>
      <c r="AV43" s="189"/>
      <c r="AW43" s="189"/>
      <c r="AX43" s="189"/>
      <c r="AY43" s="75"/>
      <c r="AZ43" s="75"/>
      <c r="BA43" s="189"/>
      <c r="BB43" s="189"/>
      <c r="BC43" s="189"/>
      <c r="BD43" s="189"/>
      <c r="BE43" s="75"/>
      <c r="BF43" s="75"/>
      <c r="BG43" s="189"/>
      <c r="BH43" s="189"/>
      <c r="BI43" s="189"/>
      <c r="BJ43" s="189"/>
      <c r="BK43" s="75"/>
      <c r="BL43" s="75"/>
      <c r="BM43" s="189"/>
      <c r="BN43" s="189"/>
      <c r="BO43" s="189"/>
      <c r="BP43" s="189"/>
      <c r="BQ43" s="75"/>
      <c r="BR43" s="75"/>
      <c r="BS43" s="189"/>
      <c r="BT43" s="189"/>
      <c r="BU43" s="189"/>
      <c r="BV43" s="189"/>
      <c r="BW43" s="75"/>
      <c r="BX43" s="75"/>
      <c r="BY43" s="189"/>
      <c r="BZ43" s="189"/>
      <c r="CA43" s="189"/>
      <c r="CB43" s="189"/>
      <c r="CC43" s="75"/>
      <c r="CD43" s="75"/>
      <c r="CE43" s="189"/>
      <c r="CF43" s="189"/>
      <c r="CG43" s="189"/>
      <c r="CH43" s="189"/>
      <c r="CI43" s="75"/>
      <c r="CJ43" s="75"/>
      <c r="CK43" s="189"/>
      <c r="CL43" s="189"/>
      <c r="CM43" s="189"/>
      <c r="CN43" s="189"/>
      <c r="CO43" s="75"/>
      <c r="CP43" s="75"/>
      <c r="CQ43" s="189"/>
      <c r="CR43" s="189"/>
      <c r="CS43" s="189"/>
      <c r="CT43" s="189"/>
      <c r="CU43" s="75"/>
      <c r="CV43" s="75"/>
      <c r="CW43" s="75"/>
      <c r="CX43" s="75"/>
      <c r="CY43" s="53"/>
      <c r="CZ43" s="51"/>
      <c r="DA43" s="51"/>
      <c r="DB43" s="51"/>
      <c r="DC43" s="51"/>
      <c r="DD43" s="51"/>
      <c r="DE43" s="51"/>
      <c r="DF43" s="51"/>
    </row>
    <row r="44" spans="1:111" s="65" customFormat="1" ht="6" customHeight="1" x14ac:dyDescent="0.25">
      <c r="A44" s="51"/>
      <c r="B44" s="51"/>
      <c r="C44" s="51"/>
      <c r="D44" s="52"/>
      <c r="E44" s="111"/>
      <c r="F44" s="51"/>
      <c r="G44" s="51"/>
      <c r="H44" s="53"/>
      <c r="I44" s="53"/>
      <c r="J44" s="53"/>
      <c r="K44" s="53"/>
      <c r="L44" s="53"/>
      <c r="M44" s="75"/>
      <c r="N44" s="75"/>
      <c r="O44" s="75"/>
      <c r="P44" s="75"/>
      <c r="Q44" s="189"/>
      <c r="R44" s="189"/>
      <c r="S44" s="189"/>
      <c r="T44" s="189"/>
      <c r="U44" s="75"/>
      <c r="V44" s="75"/>
      <c r="W44" s="189"/>
      <c r="X44" s="189"/>
      <c r="Y44" s="189"/>
      <c r="Z44" s="189"/>
      <c r="AA44" s="75"/>
      <c r="AB44" s="75"/>
      <c r="AC44" s="189"/>
      <c r="AD44" s="189"/>
      <c r="AE44" s="189"/>
      <c r="AF44" s="189"/>
      <c r="AG44" s="75"/>
      <c r="AH44" s="75"/>
      <c r="AI44" s="189"/>
      <c r="AJ44" s="189"/>
      <c r="AK44" s="189"/>
      <c r="AL44" s="189"/>
      <c r="AM44" s="75"/>
      <c r="AN44" s="75"/>
      <c r="AO44" s="189"/>
      <c r="AP44" s="189"/>
      <c r="AQ44" s="189"/>
      <c r="AR44" s="189"/>
      <c r="AS44" s="75"/>
      <c r="AT44" s="75"/>
      <c r="AU44" s="189"/>
      <c r="AV44" s="189"/>
      <c r="AW44" s="189"/>
      <c r="AX44" s="189"/>
      <c r="AY44" s="75"/>
      <c r="AZ44" s="75"/>
      <c r="BA44" s="189"/>
      <c r="BB44" s="189"/>
      <c r="BC44" s="189"/>
      <c r="BD44" s="189"/>
      <c r="BE44" s="75"/>
      <c r="BF44" s="75"/>
      <c r="BG44" s="189"/>
      <c r="BH44" s="189"/>
      <c r="BI44" s="189"/>
      <c r="BJ44" s="189"/>
      <c r="BK44" s="75"/>
      <c r="BL44" s="75"/>
      <c r="BM44" s="189"/>
      <c r="BN44" s="189"/>
      <c r="BO44" s="189"/>
      <c r="BP44" s="189"/>
      <c r="BQ44" s="75"/>
      <c r="BR44" s="75"/>
      <c r="BS44" s="189"/>
      <c r="BT44" s="189"/>
      <c r="BU44" s="189"/>
      <c r="BV44" s="189"/>
      <c r="BW44" s="75"/>
      <c r="BX44" s="75"/>
      <c r="BY44" s="189"/>
      <c r="BZ44" s="189"/>
      <c r="CA44" s="189"/>
      <c r="CB44" s="189"/>
      <c r="CC44" s="75"/>
      <c r="CD44" s="75"/>
      <c r="CE44" s="189"/>
      <c r="CF44" s="189"/>
      <c r="CG44" s="189"/>
      <c r="CH44" s="189"/>
      <c r="CI44" s="75"/>
      <c r="CJ44" s="75"/>
      <c r="CK44" s="189"/>
      <c r="CL44" s="189"/>
      <c r="CM44" s="189"/>
      <c r="CN44" s="189"/>
      <c r="CO44" s="75"/>
      <c r="CP44" s="75"/>
      <c r="CQ44" s="189"/>
      <c r="CR44" s="189"/>
      <c r="CS44" s="189"/>
      <c r="CT44" s="189"/>
      <c r="CU44" s="75"/>
      <c r="CV44" s="75"/>
      <c r="CW44" s="75"/>
      <c r="CX44" s="75"/>
      <c r="CY44" s="53"/>
      <c r="CZ44" s="51"/>
      <c r="DA44" s="51"/>
      <c r="DB44" s="51"/>
      <c r="DC44" s="51"/>
      <c r="DD44" s="51"/>
      <c r="DE44" s="51"/>
      <c r="DF44" s="51"/>
    </row>
    <row r="45" spans="1:111" s="65" customFormat="1" ht="6" customHeight="1" x14ac:dyDescent="0.25">
      <c r="A45" s="51"/>
      <c r="B45" s="51"/>
      <c r="C45" s="51"/>
      <c r="D45" s="52"/>
      <c r="E45" s="111"/>
      <c r="F45" s="51"/>
      <c r="G45" s="51"/>
      <c r="H45" s="53"/>
      <c r="I45" s="53"/>
      <c r="J45" s="53"/>
      <c r="K45" s="53"/>
      <c r="L45" s="53"/>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75"/>
      <c r="CU45" s="75"/>
      <c r="CV45" s="75"/>
      <c r="CW45" s="75"/>
      <c r="CX45" s="75"/>
      <c r="CY45" s="53"/>
      <c r="CZ45" s="51"/>
      <c r="DA45" s="51"/>
      <c r="DB45" s="51"/>
      <c r="DC45" s="51"/>
      <c r="DD45" s="51"/>
      <c r="DE45" s="51"/>
      <c r="DF45" s="51"/>
    </row>
    <row r="46" spans="1:111" s="65" customFormat="1" ht="6" customHeight="1" x14ac:dyDescent="0.25">
      <c r="A46" s="51"/>
      <c r="B46" s="51"/>
      <c r="C46" s="51"/>
      <c r="D46" s="52"/>
      <c r="E46" s="111"/>
      <c r="F46" s="51"/>
      <c r="G46" s="51"/>
      <c r="H46" s="51"/>
      <c r="I46" s="51"/>
      <c r="J46" s="51"/>
      <c r="K46" s="51"/>
      <c r="L46" s="51"/>
      <c r="M46" s="75"/>
      <c r="N46" s="125"/>
      <c r="O46" s="125"/>
      <c r="P46" s="125"/>
      <c r="Q46" s="125"/>
      <c r="R46" s="75"/>
      <c r="S46" s="75"/>
      <c r="T46" s="125"/>
      <c r="U46" s="125"/>
      <c r="V46" s="125"/>
      <c r="W46" s="125"/>
      <c r="X46" s="75"/>
      <c r="Y46" s="75"/>
      <c r="Z46" s="125"/>
      <c r="AA46" s="125"/>
      <c r="AB46" s="125"/>
      <c r="AC46" s="125"/>
      <c r="AD46" s="75"/>
      <c r="AE46" s="75"/>
      <c r="AF46" s="125"/>
      <c r="AG46" s="125"/>
      <c r="AH46" s="125"/>
      <c r="AI46" s="125"/>
      <c r="AJ46" s="75"/>
      <c r="AK46" s="75"/>
      <c r="AL46" s="125"/>
      <c r="AM46" s="125"/>
      <c r="AN46" s="125"/>
      <c r="AO46" s="125"/>
      <c r="AP46" s="75"/>
      <c r="AQ46" s="75"/>
      <c r="AR46" s="125"/>
      <c r="AS46" s="125"/>
      <c r="AT46" s="125"/>
      <c r="AU46" s="125"/>
      <c r="AV46" s="75"/>
      <c r="AW46" s="75"/>
      <c r="AX46" s="125"/>
      <c r="AY46" s="125"/>
      <c r="AZ46" s="125"/>
      <c r="BA46" s="125"/>
      <c r="BB46" s="75"/>
      <c r="BC46" s="75"/>
      <c r="BD46" s="125"/>
      <c r="BE46" s="125"/>
      <c r="BF46" s="125"/>
      <c r="BG46" s="125"/>
      <c r="BH46" s="75"/>
      <c r="BI46" s="75"/>
      <c r="BJ46" s="125"/>
      <c r="BK46" s="125"/>
      <c r="BL46" s="125"/>
      <c r="BM46" s="125"/>
      <c r="BN46" s="75"/>
      <c r="BO46" s="75"/>
      <c r="BP46" s="125"/>
      <c r="BQ46" s="125"/>
      <c r="BR46" s="125"/>
      <c r="BS46" s="125"/>
      <c r="BT46" s="75"/>
      <c r="BU46" s="75"/>
      <c r="BV46" s="125"/>
      <c r="BW46" s="125"/>
      <c r="BX46" s="125"/>
      <c r="BY46" s="125"/>
      <c r="BZ46" s="75"/>
      <c r="CA46" s="75"/>
      <c r="CB46" s="125"/>
      <c r="CC46" s="125"/>
      <c r="CD46" s="125"/>
      <c r="CE46" s="125"/>
      <c r="CF46" s="75"/>
      <c r="CG46" s="75"/>
      <c r="CH46" s="125"/>
      <c r="CI46" s="125"/>
      <c r="CJ46" s="125"/>
      <c r="CK46" s="125"/>
      <c r="CL46" s="75"/>
      <c r="CM46" s="75"/>
      <c r="CN46" s="125"/>
      <c r="CO46" s="125"/>
      <c r="CP46" s="125"/>
      <c r="CQ46" s="125"/>
      <c r="CR46" s="75"/>
      <c r="CS46" s="75"/>
      <c r="CT46" s="125"/>
      <c r="CU46" s="125"/>
      <c r="CV46" s="125"/>
      <c r="CW46" s="125"/>
      <c r="CX46" s="75"/>
      <c r="CY46" s="53"/>
      <c r="CZ46" s="51"/>
      <c r="DA46" s="51"/>
      <c r="DB46" s="51"/>
      <c r="DC46" s="51"/>
      <c r="DD46" s="51"/>
      <c r="DE46" s="51"/>
      <c r="DF46" s="51"/>
    </row>
    <row r="47" spans="1:111" s="65" customFormat="1" ht="10.5" x14ac:dyDescent="0.2">
      <c r="A47" s="51"/>
      <c r="B47" s="47"/>
      <c r="C47" s="47"/>
      <c r="D47" s="48"/>
      <c r="E47" s="49"/>
      <c r="F47" s="190" t="s">
        <v>25</v>
      </c>
      <c r="G47" s="242"/>
      <c r="H47" s="242"/>
      <c r="I47" s="242"/>
      <c r="J47" s="242"/>
      <c r="K47" s="242"/>
      <c r="L47" s="191"/>
      <c r="M47" s="192">
        <v>1</v>
      </c>
      <c r="N47" s="193"/>
      <c r="O47" s="193"/>
      <c r="P47" s="193"/>
      <c r="Q47" s="193"/>
      <c r="R47" s="193"/>
      <c r="S47" s="192">
        <v>2</v>
      </c>
      <c r="T47" s="193"/>
      <c r="U47" s="193"/>
      <c r="V47" s="193"/>
      <c r="W47" s="193"/>
      <c r="X47" s="193"/>
      <c r="Y47" s="192">
        <v>3</v>
      </c>
      <c r="Z47" s="193"/>
      <c r="AA47" s="193"/>
      <c r="AB47" s="193"/>
      <c r="AC47" s="193"/>
      <c r="AD47" s="193"/>
      <c r="AE47" s="192">
        <v>4</v>
      </c>
      <c r="AF47" s="193"/>
      <c r="AG47" s="193"/>
      <c r="AH47" s="193"/>
      <c r="AI47" s="193"/>
      <c r="AJ47" s="193"/>
      <c r="AK47" s="192">
        <v>5</v>
      </c>
      <c r="AL47" s="193"/>
      <c r="AM47" s="193"/>
      <c r="AN47" s="193"/>
      <c r="AO47" s="193"/>
      <c r="AP47" s="193"/>
      <c r="AQ47" s="192">
        <v>6</v>
      </c>
      <c r="AR47" s="193"/>
      <c r="AS47" s="193"/>
      <c r="AT47" s="193"/>
      <c r="AU47" s="193"/>
      <c r="AV47" s="193"/>
      <c r="AW47" s="192">
        <v>7</v>
      </c>
      <c r="AX47" s="193"/>
      <c r="AY47" s="193"/>
      <c r="AZ47" s="193"/>
      <c r="BA47" s="193"/>
      <c r="BB47" s="193"/>
      <c r="BC47" s="192">
        <v>8</v>
      </c>
      <c r="BD47" s="193"/>
      <c r="BE47" s="193"/>
      <c r="BF47" s="193"/>
      <c r="BG47" s="193"/>
      <c r="BH47" s="193"/>
      <c r="BI47" s="192">
        <v>9</v>
      </c>
      <c r="BJ47" s="193"/>
      <c r="BK47" s="193"/>
      <c r="BL47" s="193"/>
      <c r="BM47" s="193"/>
      <c r="BN47" s="193"/>
      <c r="BO47" s="192">
        <v>10</v>
      </c>
      <c r="BP47" s="193"/>
      <c r="BQ47" s="193"/>
      <c r="BR47" s="193"/>
      <c r="BS47" s="193"/>
      <c r="BT47" s="193"/>
      <c r="BU47" s="192">
        <v>11</v>
      </c>
      <c r="BV47" s="193"/>
      <c r="BW47" s="193"/>
      <c r="BX47" s="193"/>
      <c r="BY47" s="193"/>
      <c r="BZ47" s="193"/>
      <c r="CA47" s="192">
        <v>12</v>
      </c>
      <c r="CB47" s="193"/>
      <c r="CC47" s="193"/>
      <c r="CD47" s="193"/>
      <c r="CE47" s="193"/>
      <c r="CF47" s="193"/>
      <c r="CG47" s="192">
        <v>13</v>
      </c>
      <c r="CH47" s="193"/>
      <c r="CI47" s="193"/>
      <c r="CJ47" s="193"/>
      <c r="CK47" s="193"/>
      <c r="CL47" s="193"/>
      <c r="CM47" s="192">
        <v>14</v>
      </c>
      <c r="CN47" s="193"/>
      <c r="CO47" s="193"/>
      <c r="CP47" s="193"/>
      <c r="CQ47" s="193"/>
      <c r="CR47" s="193"/>
      <c r="CS47" s="192">
        <v>15</v>
      </c>
      <c r="CT47" s="193"/>
      <c r="CU47" s="193"/>
      <c r="CV47" s="193"/>
      <c r="CW47" s="193"/>
      <c r="CX47" s="193"/>
      <c r="CY47" s="17"/>
      <c r="CZ47" s="17"/>
      <c r="DA47" s="17"/>
      <c r="DB47" s="17"/>
      <c r="DC47" s="17"/>
      <c r="DD47" s="17"/>
      <c r="DE47" s="17"/>
      <c r="DF47" s="17"/>
    </row>
    <row r="48" spans="1:111" s="65" customFormat="1" ht="58.5" customHeight="1" x14ac:dyDescent="0.2">
      <c r="A48" s="51"/>
      <c r="B48" s="47"/>
      <c r="C48" s="47"/>
      <c r="D48" s="48"/>
      <c r="E48" s="50"/>
      <c r="F48" s="190" t="s">
        <v>28</v>
      </c>
      <c r="G48" s="242"/>
      <c r="H48" s="242"/>
      <c r="I48" s="242"/>
      <c r="J48" s="242"/>
      <c r="K48" s="242"/>
      <c r="L48" s="201"/>
      <c r="M48" s="196"/>
      <c r="N48" s="197"/>
      <c r="O48" s="197"/>
      <c r="P48" s="197"/>
      <c r="Q48" s="197"/>
      <c r="R48" s="198"/>
      <c r="S48" s="196"/>
      <c r="T48" s="197"/>
      <c r="U48" s="197"/>
      <c r="V48" s="197"/>
      <c r="W48" s="197"/>
      <c r="X48" s="198"/>
      <c r="Y48" s="196"/>
      <c r="Z48" s="197"/>
      <c r="AA48" s="197"/>
      <c r="AB48" s="197"/>
      <c r="AC48" s="197"/>
      <c r="AD48" s="198"/>
      <c r="AE48" s="196"/>
      <c r="AF48" s="197"/>
      <c r="AG48" s="197"/>
      <c r="AH48" s="197"/>
      <c r="AI48" s="197"/>
      <c r="AJ48" s="198"/>
      <c r="AK48" s="196"/>
      <c r="AL48" s="197"/>
      <c r="AM48" s="197"/>
      <c r="AN48" s="197"/>
      <c r="AO48" s="197"/>
      <c r="AP48" s="198"/>
      <c r="AQ48" s="196"/>
      <c r="AR48" s="197"/>
      <c r="AS48" s="197"/>
      <c r="AT48" s="197"/>
      <c r="AU48" s="197"/>
      <c r="AV48" s="198"/>
      <c r="AW48" s="196"/>
      <c r="AX48" s="197"/>
      <c r="AY48" s="197"/>
      <c r="AZ48" s="197"/>
      <c r="BA48" s="197"/>
      <c r="BB48" s="198"/>
      <c r="BC48" s="196"/>
      <c r="BD48" s="197"/>
      <c r="BE48" s="197"/>
      <c r="BF48" s="197"/>
      <c r="BG48" s="197"/>
      <c r="BH48" s="198"/>
      <c r="BI48" s="196"/>
      <c r="BJ48" s="197"/>
      <c r="BK48" s="197"/>
      <c r="BL48" s="197"/>
      <c r="BM48" s="197"/>
      <c r="BN48" s="198"/>
      <c r="BO48" s="196"/>
      <c r="BP48" s="197"/>
      <c r="BQ48" s="197"/>
      <c r="BR48" s="197"/>
      <c r="BS48" s="197"/>
      <c r="BT48" s="198"/>
      <c r="BU48" s="196"/>
      <c r="BV48" s="197"/>
      <c r="BW48" s="197"/>
      <c r="BX48" s="197"/>
      <c r="BY48" s="197"/>
      <c r="BZ48" s="198"/>
      <c r="CA48" s="196"/>
      <c r="CB48" s="197"/>
      <c r="CC48" s="197"/>
      <c r="CD48" s="197"/>
      <c r="CE48" s="197"/>
      <c r="CF48" s="198"/>
      <c r="CG48" s="196"/>
      <c r="CH48" s="197"/>
      <c r="CI48" s="197"/>
      <c r="CJ48" s="197"/>
      <c r="CK48" s="197"/>
      <c r="CL48" s="198"/>
      <c r="CM48" s="196"/>
      <c r="CN48" s="197"/>
      <c r="CO48" s="197"/>
      <c r="CP48" s="197"/>
      <c r="CQ48" s="197"/>
      <c r="CR48" s="198"/>
      <c r="CS48" s="211"/>
      <c r="CT48" s="211"/>
      <c r="CU48" s="211"/>
      <c r="CV48" s="211"/>
      <c r="CW48" s="211"/>
      <c r="CX48" s="211"/>
      <c r="CY48" s="17"/>
      <c r="CZ48" s="17"/>
      <c r="DA48" s="17"/>
      <c r="DB48" s="17"/>
      <c r="DC48" s="17"/>
      <c r="DD48" s="17"/>
      <c r="DE48" s="17"/>
      <c r="DF48" s="17"/>
    </row>
    <row r="49" spans="1:110" ht="21.75" customHeight="1" x14ac:dyDescent="0.25">
      <c r="A49" s="17"/>
      <c r="B49" s="199" t="s">
        <v>24</v>
      </c>
      <c r="C49" s="199" t="s">
        <v>35</v>
      </c>
      <c r="D49" s="194" t="s">
        <v>2</v>
      </c>
      <c r="E49" s="194" t="s">
        <v>10</v>
      </c>
      <c r="F49" s="95"/>
      <c r="G49" s="96"/>
      <c r="H49" s="96"/>
      <c r="I49" s="96"/>
      <c r="J49" s="96"/>
      <c r="K49" s="96"/>
      <c r="L49" s="97"/>
      <c r="M49" s="202"/>
      <c r="N49" s="203"/>
      <c r="O49" s="203"/>
      <c r="P49" s="203"/>
      <c r="Q49" s="203"/>
      <c r="R49" s="204"/>
      <c r="S49" s="202"/>
      <c r="T49" s="203"/>
      <c r="U49" s="203"/>
      <c r="V49" s="203"/>
      <c r="W49" s="203"/>
      <c r="X49" s="204"/>
      <c r="Y49" s="202"/>
      <c r="Z49" s="203"/>
      <c r="AA49" s="203"/>
      <c r="AB49" s="203"/>
      <c r="AC49" s="203"/>
      <c r="AD49" s="204"/>
      <c r="AE49" s="202"/>
      <c r="AF49" s="203"/>
      <c r="AG49" s="203"/>
      <c r="AH49" s="203"/>
      <c r="AI49" s="203"/>
      <c r="AJ49" s="204"/>
      <c r="AK49" s="202"/>
      <c r="AL49" s="203"/>
      <c r="AM49" s="203"/>
      <c r="AN49" s="203"/>
      <c r="AO49" s="203"/>
      <c r="AP49" s="204"/>
      <c r="AQ49" s="202"/>
      <c r="AR49" s="203"/>
      <c r="AS49" s="203"/>
      <c r="AT49" s="203"/>
      <c r="AU49" s="203"/>
      <c r="AV49" s="204"/>
      <c r="AW49" s="202"/>
      <c r="AX49" s="203"/>
      <c r="AY49" s="203"/>
      <c r="AZ49" s="203"/>
      <c r="BA49" s="203"/>
      <c r="BB49" s="204"/>
      <c r="BC49" s="202"/>
      <c r="BD49" s="203"/>
      <c r="BE49" s="203"/>
      <c r="BF49" s="203"/>
      <c r="BG49" s="203"/>
      <c r="BH49" s="204"/>
      <c r="BI49" s="202"/>
      <c r="BJ49" s="203"/>
      <c r="BK49" s="203"/>
      <c r="BL49" s="203"/>
      <c r="BM49" s="203"/>
      <c r="BN49" s="204"/>
      <c r="BO49" s="202"/>
      <c r="BP49" s="203"/>
      <c r="BQ49" s="203"/>
      <c r="BR49" s="203"/>
      <c r="BS49" s="203"/>
      <c r="BT49" s="204"/>
      <c r="BU49" s="202"/>
      <c r="BV49" s="203"/>
      <c r="BW49" s="203"/>
      <c r="BX49" s="203"/>
      <c r="BY49" s="203"/>
      <c r="BZ49" s="204"/>
      <c r="CA49" s="202"/>
      <c r="CB49" s="203"/>
      <c r="CC49" s="203"/>
      <c r="CD49" s="203"/>
      <c r="CE49" s="203"/>
      <c r="CF49" s="204"/>
      <c r="CG49" s="202"/>
      <c r="CH49" s="203"/>
      <c r="CI49" s="203"/>
      <c r="CJ49" s="203"/>
      <c r="CK49" s="203"/>
      <c r="CL49" s="204"/>
      <c r="CM49" s="202"/>
      <c r="CN49" s="203"/>
      <c r="CO49" s="203"/>
      <c r="CP49" s="203"/>
      <c r="CQ49" s="203"/>
      <c r="CR49" s="204"/>
      <c r="CS49" s="202"/>
      <c r="CT49" s="203"/>
      <c r="CU49" s="203"/>
      <c r="CV49" s="203"/>
      <c r="CW49" s="203"/>
      <c r="CX49" s="204"/>
      <c r="CY49" s="17"/>
      <c r="CZ49" s="17"/>
      <c r="DA49" s="17"/>
      <c r="DB49" s="17"/>
      <c r="DC49" s="17"/>
      <c r="DD49" s="17"/>
      <c r="DE49" s="17"/>
      <c r="DF49" s="17"/>
    </row>
    <row r="50" spans="1:110" ht="21.75" customHeight="1" x14ac:dyDescent="0.25">
      <c r="A50" s="17"/>
      <c r="B50" s="240"/>
      <c r="C50" s="240"/>
      <c r="D50" s="241"/>
      <c r="E50" s="241"/>
      <c r="F50" s="98"/>
      <c r="G50" s="99"/>
      <c r="H50" s="100"/>
      <c r="I50" s="100"/>
      <c r="J50" s="100"/>
      <c r="K50" s="100"/>
      <c r="L50" s="97"/>
      <c r="M50" s="237"/>
      <c r="N50" s="238"/>
      <c r="O50" s="238"/>
      <c r="P50" s="238"/>
      <c r="Q50" s="238"/>
      <c r="R50" s="239"/>
      <c r="S50" s="237"/>
      <c r="T50" s="238"/>
      <c r="U50" s="238"/>
      <c r="V50" s="238"/>
      <c r="W50" s="238"/>
      <c r="X50" s="239"/>
      <c r="Y50" s="237"/>
      <c r="Z50" s="238"/>
      <c r="AA50" s="238"/>
      <c r="AB50" s="238"/>
      <c r="AC50" s="238"/>
      <c r="AD50" s="239"/>
      <c r="AE50" s="237"/>
      <c r="AF50" s="238"/>
      <c r="AG50" s="238"/>
      <c r="AH50" s="238"/>
      <c r="AI50" s="238"/>
      <c r="AJ50" s="239"/>
      <c r="AK50" s="237"/>
      <c r="AL50" s="238"/>
      <c r="AM50" s="238"/>
      <c r="AN50" s="238"/>
      <c r="AO50" s="238"/>
      <c r="AP50" s="239"/>
      <c r="AQ50" s="237"/>
      <c r="AR50" s="238"/>
      <c r="AS50" s="238"/>
      <c r="AT50" s="238"/>
      <c r="AU50" s="238"/>
      <c r="AV50" s="239"/>
      <c r="AW50" s="237"/>
      <c r="AX50" s="238"/>
      <c r="AY50" s="238"/>
      <c r="AZ50" s="238"/>
      <c r="BA50" s="238"/>
      <c r="BB50" s="239"/>
      <c r="BC50" s="237"/>
      <c r="BD50" s="238"/>
      <c r="BE50" s="238"/>
      <c r="BF50" s="238"/>
      <c r="BG50" s="238"/>
      <c r="BH50" s="239"/>
      <c r="BI50" s="237"/>
      <c r="BJ50" s="238"/>
      <c r="BK50" s="238"/>
      <c r="BL50" s="238"/>
      <c r="BM50" s="238"/>
      <c r="BN50" s="239"/>
      <c r="BO50" s="237"/>
      <c r="BP50" s="238"/>
      <c r="BQ50" s="238"/>
      <c r="BR50" s="238"/>
      <c r="BS50" s="238"/>
      <c r="BT50" s="239"/>
      <c r="BU50" s="237"/>
      <c r="BV50" s="238"/>
      <c r="BW50" s="238"/>
      <c r="BX50" s="238"/>
      <c r="BY50" s="238"/>
      <c r="BZ50" s="239"/>
      <c r="CA50" s="237"/>
      <c r="CB50" s="238"/>
      <c r="CC50" s="238"/>
      <c r="CD50" s="238"/>
      <c r="CE50" s="238"/>
      <c r="CF50" s="239"/>
      <c r="CG50" s="237"/>
      <c r="CH50" s="238"/>
      <c r="CI50" s="238"/>
      <c r="CJ50" s="238"/>
      <c r="CK50" s="238"/>
      <c r="CL50" s="239"/>
      <c r="CM50" s="237"/>
      <c r="CN50" s="238"/>
      <c r="CO50" s="238"/>
      <c r="CP50" s="238"/>
      <c r="CQ50" s="238"/>
      <c r="CR50" s="239"/>
      <c r="CS50" s="237"/>
      <c r="CT50" s="238"/>
      <c r="CU50" s="238"/>
      <c r="CV50" s="238"/>
      <c r="CW50" s="238"/>
      <c r="CX50" s="239"/>
      <c r="CY50" s="17"/>
      <c r="CZ50" s="17"/>
      <c r="DA50" s="17"/>
      <c r="DB50" s="17"/>
      <c r="DC50" s="17"/>
      <c r="DD50" s="17"/>
      <c r="DE50" s="17"/>
      <c r="DF50" s="17"/>
    </row>
    <row r="51" spans="1:110" ht="21.75" customHeight="1" x14ac:dyDescent="0.25">
      <c r="A51" s="17"/>
      <c r="B51" s="240"/>
      <c r="C51" s="240"/>
      <c r="D51" s="241"/>
      <c r="E51" s="241"/>
      <c r="F51" s="98"/>
      <c r="G51" s="100"/>
      <c r="H51" s="99"/>
      <c r="I51" s="100"/>
      <c r="J51" s="227" t="s">
        <v>59</v>
      </c>
      <c r="K51" s="227"/>
      <c r="L51" s="228"/>
      <c r="M51" s="237"/>
      <c r="N51" s="238"/>
      <c r="O51" s="238"/>
      <c r="P51" s="238"/>
      <c r="Q51" s="238"/>
      <c r="R51" s="239"/>
      <c r="S51" s="237"/>
      <c r="T51" s="238"/>
      <c r="U51" s="238"/>
      <c r="V51" s="238"/>
      <c r="W51" s="238"/>
      <c r="X51" s="239"/>
      <c r="Y51" s="237"/>
      <c r="Z51" s="238"/>
      <c r="AA51" s="238"/>
      <c r="AB51" s="238"/>
      <c r="AC51" s="238"/>
      <c r="AD51" s="239"/>
      <c r="AE51" s="237"/>
      <c r="AF51" s="238"/>
      <c r="AG51" s="238"/>
      <c r="AH51" s="238"/>
      <c r="AI51" s="238"/>
      <c r="AJ51" s="239"/>
      <c r="AK51" s="237"/>
      <c r="AL51" s="238"/>
      <c r="AM51" s="238"/>
      <c r="AN51" s="238"/>
      <c r="AO51" s="238"/>
      <c r="AP51" s="239"/>
      <c r="AQ51" s="237"/>
      <c r="AR51" s="238"/>
      <c r="AS51" s="238"/>
      <c r="AT51" s="238"/>
      <c r="AU51" s="238"/>
      <c r="AV51" s="239"/>
      <c r="AW51" s="237"/>
      <c r="AX51" s="238"/>
      <c r="AY51" s="238"/>
      <c r="AZ51" s="238"/>
      <c r="BA51" s="238"/>
      <c r="BB51" s="239"/>
      <c r="BC51" s="237"/>
      <c r="BD51" s="238"/>
      <c r="BE51" s="238"/>
      <c r="BF51" s="238"/>
      <c r="BG51" s="238"/>
      <c r="BH51" s="239"/>
      <c r="BI51" s="237"/>
      <c r="BJ51" s="238"/>
      <c r="BK51" s="238"/>
      <c r="BL51" s="238"/>
      <c r="BM51" s="238"/>
      <c r="BN51" s="239"/>
      <c r="BO51" s="237"/>
      <c r="BP51" s="238"/>
      <c r="BQ51" s="238"/>
      <c r="BR51" s="238"/>
      <c r="BS51" s="238"/>
      <c r="BT51" s="239"/>
      <c r="BU51" s="237"/>
      <c r="BV51" s="238"/>
      <c r="BW51" s="238"/>
      <c r="BX51" s="238"/>
      <c r="BY51" s="238"/>
      <c r="BZ51" s="239"/>
      <c r="CA51" s="237"/>
      <c r="CB51" s="238"/>
      <c r="CC51" s="238"/>
      <c r="CD51" s="238"/>
      <c r="CE51" s="238"/>
      <c r="CF51" s="239"/>
      <c r="CG51" s="237"/>
      <c r="CH51" s="238"/>
      <c r="CI51" s="238"/>
      <c r="CJ51" s="238"/>
      <c r="CK51" s="238"/>
      <c r="CL51" s="239"/>
      <c r="CM51" s="237"/>
      <c r="CN51" s="238"/>
      <c r="CO51" s="238"/>
      <c r="CP51" s="238"/>
      <c r="CQ51" s="238"/>
      <c r="CR51" s="239"/>
      <c r="CS51" s="237"/>
      <c r="CT51" s="238"/>
      <c r="CU51" s="238"/>
      <c r="CV51" s="238"/>
      <c r="CW51" s="238"/>
      <c r="CX51" s="239"/>
      <c r="CY51" s="17"/>
      <c r="CZ51" s="17"/>
      <c r="DA51" s="17"/>
      <c r="DB51" s="17"/>
      <c r="DC51" s="17"/>
      <c r="DD51" s="17"/>
      <c r="DE51" s="17"/>
      <c r="DF51" s="17"/>
    </row>
    <row r="52" spans="1:110" ht="21.75" customHeight="1" x14ac:dyDescent="0.25">
      <c r="A52" s="17"/>
      <c r="B52" s="240"/>
      <c r="C52" s="240"/>
      <c r="D52" s="241"/>
      <c r="E52" s="241"/>
      <c r="F52" s="98"/>
      <c r="G52" s="100"/>
      <c r="H52" s="100"/>
      <c r="I52" s="99"/>
      <c r="J52" s="227"/>
      <c r="K52" s="227"/>
      <c r="L52" s="228"/>
      <c r="M52" s="237"/>
      <c r="N52" s="238"/>
      <c r="O52" s="238"/>
      <c r="P52" s="238"/>
      <c r="Q52" s="238"/>
      <c r="R52" s="239"/>
      <c r="S52" s="237"/>
      <c r="T52" s="238"/>
      <c r="U52" s="238"/>
      <c r="V52" s="238"/>
      <c r="W52" s="238"/>
      <c r="X52" s="239"/>
      <c r="Y52" s="237"/>
      <c r="Z52" s="238"/>
      <c r="AA52" s="238"/>
      <c r="AB52" s="238"/>
      <c r="AC52" s="238"/>
      <c r="AD52" s="239"/>
      <c r="AE52" s="237"/>
      <c r="AF52" s="238"/>
      <c r="AG52" s="238"/>
      <c r="AH52" s="238"/>
      <c r="AI52" s="238"/>
      <c r="AJ52" s="239"/>
      <c r="AK52" s="237"/>
      <c r="AL52" s="238"/>
      <c r="AM52" s="238"/>
      <c r="AN52" s="238"/>
      <c r="AO52" s="238"/>
      <c r="AP52" s="239"/>
      <c r="AQ52" s="237"/>
      <c r="AR52" s="238"/>
      <c r="AS52" s="238"/>
      <c r="AT52" s="238"/>
      <c r="AU52" s="238"/>
      <c r="AV52" s="239"/>
      <c r="AW52" s="237"/>
      <c r="AX52" s="238"/>
      <c r="AY52" s="238"/>
      <c r="AZ52" s="238"/>
      <c r="BA52" s="238"/>
      <c r="BB52" s="239"/>
      <c r="BC52" s="237"/>
      <c r="BD52" s="238"/>
      <c r="BE52" s="238"/>
      <c r="BF52" s="238"/>
      <c r="BG52" s="238"/>
      <c r="BH52" s="239"/>
      <c r="BI52" s="237"/>
      <c r="BJ52" s="238"/>
      <c r="BK52" s="238"/>
      <c r="BL52" s="238"/>
      <c r="BM52" s="238"/>
      <c r="BN52" s="239"/>
      <c r="BO52" s="237"/>
      <c r="BP52" s="238"/>
      <c r="BQ52" s="238"/>
      <c r="BR52" s="238"/>
      <c r="BS52" s="238"/>
      <c r="BT52" s="239"/>
      <c r="BU52" s="237"/>
      <c r="BV52" s="238"/>
      <c r="BW52" s="238"/>
      <c r="BX52" s="238"/>
      <c r="BY52" s="238"/>
      <c r="BZ52" s="239"/>
      <c r="CA52" s="237"/>
      <c r="CB52" s="238"/>
      <c r="CC52" s="238"/>
      <c r="CD52" s="238"/>
      <c r="CE52" s="238"/>
      <c r="CF52" s="239"/>
      <c r="CG52" s="237"/>
      <c r="CH52" s="238"/>
      <c r="CI52" s="238"/>
      <c r="CJ52" s="238"/>
      <c r="CK52" s="238"/>
      <c r="CL52" s="239"/>
      <c r="CM52" s="237"/>
      <c r="CN52" s="238"/>
      <c r="CO52" s="238"/>
      <c r="CP52" s="238"/>
      <c r="CQ52" s="238"/>
      <c r="CR52" s="239"/>
      <c r="CS52" s="237"/>
      <c r="CT52" s="238"/>
      <c r="CU52" s="238"/>
      <c r="CV52" s="238"/>
      <c r="CW52" s="238"/>
      <c r="CX52" s="239"/>
      <c r="CY52" s="17"/>
      <c r="CZ52" s="17"/>
      <c r="DA52" s="17"/>
      <c r="DB52" s="17"/>
      <c r="DC52" s="17"/>
      <c r="DD52" s="17"/>
      <c r="DE52" s="17"/>
      <c r="DF52" s="17"/>
    </row>
    <row r="53" spans="1:110" ht="21.75" customHeight="1" x14ac:dyDescent="0.25">
      <c r="A53" s="17"/>
      <c r="B53" s="240"/>
      <c r="C53" s="240"/>
      <c r="D53" s="241"/>
      <c r="E53" s="241"/>
      <c r="F53" s="98"/>
      <c r="G53" s="100"/>
      <c r="H53" s="100"/>
      <c r="I53" s="100"/>
      <c r="J53" s="99"/>
      <c r="K53" s="100"/>
      <c r="L53" s="97"/>
      <c r="M53" s="237"/>
      <c r="N53" s="238"/>
      <c r="O53" s="238"/>
      <c r="P53" s="238"/>
      <c r="Q53" s="238"/>
      <c r="R53" s="239"/>
      <c r="S53" s="237"/>
      <c r="T53" s="238"/>
      <c r="U53" s="238"/>
      <c r="V53" s="238"/>
      <c r="W53" s="238"/>
      <c r="X53" s="239"/>
      <c r="Y53" s="237"/>
      <c r="Z53" s="238"/>
      <c r="AA53" s="238"/>
      <c r="AB53" s="238"/>
      <c r="AC53" s="238"/>
      <c r="AD53" s="239"/>
      <c r="AE53" s="237"/>
      <c r="AF53" s="238"/>
      <c r="AG53" s="238"/>
      <c r="AH53" s="238"/>
      <c r="AI53" s="238"/>
      <c r="AJ53" s="239"/>
      <c r="AK53" s="237"/>
      <c r="AL53" s="238"/>
      <c r="AM53" s="238"/>
      <c r="AN53" s="238"/>
      <c r="AO53" s="238"/>
      <c r="AP53" s="239"/>
      <c r="AQ53" s="237"/>
      <c r="AR53" s="238"/>
      <c r="AS53" s="238"/>
      <c r="AT53" s="238"/>
      <c r="AU53" s="238"/>
      <c r="AV53" s="239"/>
      <c r="AW53" s="237"/>
      <c r="AX53" s="238"/>
      <c r="AY53" s="238"/>
      <c r="AZ53" s="238"/>
      <c r="BA53" s="238"/>
      <c r="BB53" s="239"/>
      <c r="BC53" s="237"/>
      <c r="BD53" s="238"/>
      <c r="BE53" s="238"/>
      <c r="BF53" s="238"/>
      <c r="BG53" s="238"/>
      <c r="BH53" s="239"/>
      <c r="BI53" s="237"/>
      <c r="BJ53" s="238"/>
      <c r="BK53" s="238"/>
      <c r="BL53" s="238"/>
      <c r="BM53" s="238"/>
      <c r="BN53" s="239"/>
      <c r="BO53" s="237"/>
      <c r="BP53" s="238"/>
      <c r="BQ53" s="238"/>
      <c r="BR53" s="238"/>
      <c r="BS53" s="238"/>
      <c r="BT53" s="239"/>
      <c r="BU53" s="237"/>
      <c r="BV53" s="238"/>
      <c r="BW53" s="238"/>
      <c r="BX53" s="238"/>
      <c r="BY53" s="238"/>
      <c r="BZ53" s="239"/>
      <c r="CA53" s="237"/>
      <c r="CB53" s="238"/>
      <c r="CC53" s="238"/>
      <c r="CD53" s="238"/>
      <c r="CE53" s="238"/>
      <c r="CF53" s="239"/>
      <c r="CG53" s="237"/>
      <c r="CH53" s="238"/>
      <c r="CI53" s="238"/>
      <c r="CJ53" s="238"/>
      <c r="CK53" s="238"/>
      <c r="CL53" s="239"/>
      <c r="CM53" s="237"/>
      <c r="CN53" s="238"/>
      <c r="CO53" s="238"/>
      <c r="CP53" s="238"/>
      <c r="CQ53" s="238"/>
      <c r="CR53" s="239"/>
      <c r="CS53" s="237"/>
      <c r="CT53" s="238"/>
      <c r="CU53" s="238"/>
      <c r="CV53" s="238"/>
      <c r="CW53" s="238"/>
      <c r="CX53" s="239"/>
      <c r="CY53" s="17"/>
      <c r="CZ53" s="17"/>
      <c r="DA53" s="17"/>
      <c r="DB53" s="17"/>
      <c r="DC53" s="17"/>
      <c r="DD53" s="17"/>
      <c r="DE53" s="17"/>
      <c r="DF53" s="17"/>
    </row>
    <row r="54" spans="1:110" ht="21.75" customHeight="1" x14ac:dyDescent="0.25">
      <c r="A54" s="17"/>
      <c r="B54" s="240"/>
      <c r="C54" s="240"/>
      <c r="D54" s="241"/>
      <c r="E54" s="241"/>
      <c r="F54" s="98"/>
      <c r="G54" s="229" t="s">
        <v>58</v>
      </c>
      <c r="H54" s="229"/>
      <c r="I54" s="229"/>
      <c r="J54" s="229"/>
      <c r="K54" s="99"/>
      <c r="L54" s="97"/>
      <c r="M54" s="237"/>
      <c r="N54" s="238"/>
      <c r="O54" s="238"/>
      <c r="P54" s="238"/>
      <c r="Q54" s="238"/>
      <c r="R54" s="239"/>
      <c r="S54" s="237"/>
      <c r="T54" s="238"/>
      <c r="U54" s="238"/>
      <c r="V54" s="238"/>
      <c r="W54" s="238"/>
      <c r="X54" s="239"/>
      <c r="Y54" s="237"/>
      <c r="Z54" s="238"/>
      <c r="AA54" s="238"/>
      <c r="AB54" s="238"/>
      <c r="AC54" s="238"/>
      <c r="AD54" s="239"/>
      <c r="AE54" s="237"/>
      <c r="AF54" s="238"/>
      <c r="AG54" s="238"/>
      <c r="AH54" s="238"/>
      <c r="AI54" s="238"/>
      <c r="AJ54" s="239"/>
      <c r="AK54" s="237"/>
      <c r="AL54" s="238"/>
      <c r="AM54" s="238"/>
      <c r="AN54" s="238"/>
      <c r="AO54" s="238"/>
      <c r="AP54" s="239"/>
      <c r="AQ54" s="237"/>
      <c r="AR54" s="238"/>
      <c r="AS54" s="238"/>
      <c r="AT54" s="238"/>
      <c r="AU54" s="238"/>
      <c r="AV54" s="239"/>
      <c r="AW54" s="237"/>
      <c r="AX54" s="238"/>
      <c r="AY54" s="238"/>
      <c r="AZ54" s="238"/>
      <c r="BA54" s="238"/>
      <c r="BB54" s="239"/>
      <c r="BC54" s="237"/>
      <c r="BD54" s="238"/>
      <c r="BE54" s="238"/>
      <c r="BF54" s="238"/>
      <c r="BG54" s="238"/>
      <c r="BH54" s="239"/>
      <c r="BI54" s="237"/>
      <c r="BJ54" s="238"/>
      <c r="BK54" s="238"/>
      <c r="BL54" s="238"/>
      <c r="BM54" s="238"/>
      <c r="BN54" s="239"/>
      <c r="BO54" s="237"/>
      <c r="BP54" s="238"/>
      <c r="BQ54" s="238"/>
      <c r="BR54" s="238"/>
      <c r="BS54" s="238"/>
      <c r="BT54" s="239"/>
      <c r="BU54" s="237"/>
      <c r="BV54" s="238"/>
      <c r="BW54" s="238"/>
      <c r="BX54" s="238"/>
      <c r="BY54" s="238"/>
      <c r="BZ54" s="239"/>
      <c r="CA54" s="237"/>
      <c r="CB54" s="238"/>
      <c r="CC54" s="238"/>
      <c r="CD54" s="238"/>
      <c r="CE54" s="238"/>
      <c r="CF54" s="239"/>
      <c r="CG54" s="237"/>
      <c r="CH54" s="238"/>
      <c r="CI54" s="238"/>
      <c r="CJ54" s="238"/>
      <c r="CK54" s="238"/>
      <c r="CL54" s="239"/>
      <c r="CM54" s="237"/>
      <c r="CN54" s="238"/>
      <c r="CO54" s="238"/>
      <c r="CP54" s="238"/>
      <c r="CQ54" s="238"/>
      <c r="CR54" s="239"/>
      <c r="CS54" s="237"/>
      <c r="CT54" s="238"/>
      <c r="CU54" s="238"/>
      <c r="CV54" s="238"/>
      <c r="CW54" s="238"/>
      <c r="CX54" s="239"/>
      <c r="CY54" s="51"/>
      <c r="CZ54" s="114"/>
      <c r="DA54" s="114"/>
      <c r="DB54" s="114"/>
      <c r="DC54" s="114"/>
      <c r="DD54" s="114"/>
      <c r="DE54" s="114"/>
      <c r="DF54" s="114"/>
    </row>
    <row r="55" spans="1:110" ht="21.75" customHeight="1" x14ac:dyDescent="0.25">
      <c r="A55" s="17"/>
      <c r="B55" s="200"/>
      <c r="C55" s="200"/>
      <c r="D55" s="195"/>
      <c r="E55" s="195"/>
      <c r="F55" s="101"/>
      <c r="G55" s="230"/>
      <c r="H55" s="230"/>
      <c r="I55" s="230"/>
      <c r="J55" s="230"/>
      <c r="K55" s="102"/>
      <c r="L55" s="103"/>
      <c r="M55" s="205"/>
      <c r="N55" s="206"/>
      <c r="O55" s="206"/>
      <c r="P55" s="206"/>
      <c r="Q55" s="206"/>
      <c r="R55" s="207"/>
      <c r="S55" s="205"/>
      <c r="T55" s="206"/>
      <c r="U55" s="206"/>
      <c r="V55" s="206"/>
      <c r="W55" s="206"/>
      <c r="X55" s="207"/>
      <c r="Y55" s="205"/>
      <c r="Z55" s="206"/>
      <c r="AA55" s="206"/>
      <c r="AB55" s="206"/>
      <c r="AC55" s="206"/>
      <c r="AD55" s="207"/>
      <c r="AE55" s="205"/>
      <c r="AF55" s="206"/>
      <c r="AG55" s="206"/>
      <c r="AH55" s="206"/>
      <c r="AI55" s="206"/>
      <c r="AJ55" s="207"/>
      <c r="AK55" s="205"/>
      <c r="AL55" s="206"/>
      <c r="AM55" s="206"/>
      <c r="AN55" s="206"/>
      <c r="AO55" s="206"/>
      <c r="AP55" s="207"/>
      <c r="AQ55" s="205"/>
      <c r="AR55" s="206"/>
      <c r="AS55" s="206"/>
      <c r="AT55" s="206"/>
      <c r="AU55" s="206"/>
      <c r="AV55" s="207"/>
      <c r="AW55" s="205"/>
      <c r="AX55" s="206"/>
      <c r="AY55" s="206"/>
      <c r="AZ55" s="206"/>
      <c r="BA55" s="206"/>
      <c r="BB55" s="207"/>
      <c r="BC55" s="205"/>
      <c r="BD55" s="206"/>
      <c r="BE55" s="206"/>
      <c r="BF55" s="206"/>
      <c r="BG55" s="206"/>
      <c r="BH55" s="207"/>
      <c r="BI55" s="205"/>
      <c r="BJ55" s="206"/>
      <c r="BK55" s="206"/>
      <c r="BL55" s="206"/>
      <c r="BM55" s="206"/>
      <c r="BN55" s="207"/>
      <c r="BO55" s="205"/>
      <c r="BP55" s="206"/>
      <c r="BQ55" s="206"/>
      <c r="BR55" s="206"/>
      <c r="BS55" s="206"/>
      <c r="BT55" s="207"/>
      <c r="BU55" s="205"/>
      <c r="BV55" s="206"/>
      <c r="BW55" s="206"/>
      <c r="BX55" s="206"/>
      <c r="BY55" s="206"/>
      <c r="BZ55" s="207"/>
      <c r="CA55" s="205"/>
      <c r="CB55" s="206"/>
      <c r="CC55" s="206"/>
      <c r="CD55" s="206"/>
      <c r="CE55" s="206"/>
      <c r="CF55" s="207"/>
      <c r="CG55" s="205"/>
      <c r="CH55" s="206"/>
      <c r="CI55" s="206"/>
      <c r="CJ55" s="206"/>
      <c r="CK55" s="206"/>
      <c r="CL55" s="207"/>
      <c r="CM55" s="205"/>
      <c r="CN55" s="206"/>
      <c r="CO55" s="206"/>
      <c r="CP55" s="206"/>
      <c r="CQ55" s="206"/>
      <c r="CR55" s="207"/>
      <c r="CS55" s="205"/>
      <c r="CT55" s="206"/>
      <c r="CU55" s="206"/>
      <c r="CV55" s="206"/>
      <c r="CW55" s="206"/>
      <c r="CX55" s="207"/>
      <c r="CY55" s="51"/>
      <c r="CZ55" s="114"/>
      <c r="DA55" s="114"/>
      <c r="DB55" s="114"/>
      <c r="DC55" s="114"/>
      <c r="DD55" s="114"/>
      <c r="DE55" s="114"/>
      <c r="DF55" s="114"/>
    </row>
    <row r="56" spans="1:110" s="65" customFormat="1" ht="15.75" customHeight="1" x14ac:dyDescent="0.25">
      <c r="A56" s="51"/>
      <c r="B56" s="31">
        <v>1</v>
      </c>
      <c r="C56" s="30">
        <f t="shared" ref="C56:C70" si="0">MAX($M79:$CX79)</f>
        <v>0</v>
      </c>
      <c r="D56" s="39" t="str">
        <f t="shared" ref="D56:D70" si="1">IF(ISNUMBER($E56), ($E56/SUM($E$56:$E$70))*100, "")</f>
        <v/>
      </c>
      <c r="E56" s="112" t="str">
        <f>IF('House of Quality 2'!$M$74&lt;&gt;0, 'House of Quality 2'!$M$74,"")</f>
        <v/>
      </c>
      <c r="F56" s="234" t="str">
        <f>IF('House of Quality 2'!$M$49&lt;&gt;"", 'House of Quality 2'!$M$49,"")</f>
        <v/>
      </c>
      <c r="G56" s="235"/>
      <c r="H56" s="235"/>
      <c r="I56" s="235"/>
      <c r="J56" s="235"/>
      <c r="K56" s="235"/>
      <c r="L56" s="236"/>
      <c r="M56" s="185"/>
      <c r="N56" s="186"/>
      <c r="O56" s="186"/>
      <c r="P56" s="186"/>
      <c r="Q56" s="186"/>
      <c r="R56" s="187"/>
      <c r="S56" s="185"/>
      <c r="T56" s="186"/>
      <c r="U56" s="186"/>
      <c r="V56" s="186"/>
      <c r="W56" s="186"/>
      <c r="X56" s="187"/>
      <c r="Y56" s="185"/>
      <c r="Z56" s="186"/>
      <c r="AA56" s="186"/>
      <c r="AB56" s="186"/>
      <c r="AC56" s="186"/>
      <c r="AD56" s="187"/>
      <c r="AE56" s="185"/>
      <c r="AF56" s="186"/>
      <c r="AG56" s="186"/>
      <c r="AH56" s="186"/>
      <c r="AI56" s="186"/>
      <c r="AJ56" s="187"/>
      <c r="AK56" s="185"/>
      <c r="AL56" s="186"/>
      <c r="AM56" s="186"/>
      <c r="AN56" s="186"/>
      <c r="AO56" s="186"/>
      <c r="AP56" s="187"/>
      <c r="AQ56" s="185"/>
      <c r="AR56" s="186"/>
      <c r="AS56" s="186"/>
      <c r="AT56" s="186"/>
      <c r="AU56" s="186"/>
      <c r="AV56" s="187"/>
      <c r="AW56" s="185"/>
      <c r="AX56" s="186"/>
      <c r="AY56" s="186"/>
      <c r="AZ56" s="186"/>
      <c r="BA56" s="186"/>
      <c r="BB56" s="187"/>
      <c r="BC56" s="185"/>
      <c r="BD56" s="186"/>
      <c r="BE56" s="186"/>
      <c r="BF56" s="186"/>
      <c r="BG56" s="186"/>
      <c r="BH56" s="187"/>
      <c r="BI56" s="185"/>
      <c r="BJ56" s="186"/>
      <c r="BK56" s="186"/>
      <c r="BL56" s="186"/>
      <c r="BM56" s="186"/>
      <c r="BN56" s="187"/>
      <c r="BO56" s="185"/>
      <c r="BP56" s="186"/>
      <c r="BQ56" s="186"/>
      <c r="BR56" s="186"/>
      <c r="BS56" s="186"/>
      <c r="BT56" s="187"/>
      <c r="BU56" s="185"/>
      <c r="BV56" s="186"/>
      <c r="BW56" s="186"/>
      <c r="BX56" s="186"/>
      <c r="BY56" s="186"/>
      <c r="BZ56" s="187"/>
      <c r="CA56" s="185"/>
      <c r="CB56" s="186"/>
      <c r="CC56" s="186"/>
      <c r="CD56" s="186"/>
      <c r="CE56" s="186"/>
      <c r="CF56" s="187"/>
      <c r="CG56" s="185"/>
      <c r="CH56" s="186"/>
      <c r="CI56" s="186"/>
      <c r="CJ56" s="186"/>
      <c r="CK56" s="186"/>
      <c r="CL56" s="187"/>
      <c r="CM56" s="185"/>
      <c r="CN56" s="186"/>
      <c r="CO56" s="186"/>
      <c r="CP56" s="186"/>
      <c r="CQ56" s="186"/>
      <c r="CR56" s="187"/>
      <c r="CS56" s="212"/>
      <c r="CT56" s="212"/>
      <c r="CU56" s="212"/>
      <c r="CV56" s="212"/>
      <c r="CW56" s="212"/>
      <c r="CX56" s="212"/>
      <c r="CY56" s="51"/>
      <c r="CZ56" s="114"/>
      <c r="DA56" s="114"/>
      <c r="DB56" s="114"/>
      <c r="DC56" s="114"/>
      <c r="DD56" s="114"/>
      <c r="DE56" s="114"/>
      <c r="DF56" s="114"/>
    </row>
    <row r="57" spans="1:110" s="65" customFormat="1" ht="15.75" customHeight="1" x14ac:dyDescent="0.25">
      <c r="A57" s="51"/>
      <c r="B57" s="31">
        <v>2</v>
      </c>
      <c r="C57" s="30">
        <f t="shared" si="0"/>
        <v>0</v>
      </c>
      <c r="D57" s="39" t="str">
        <f t="shared" si="1"/>
        <v/>
      </c>
      <c r="E57" s="112" t="str">
        <f>IF('House of Quality 2'!$S$74&lt;&gt;0, 'House of Quality 2'!$S$74,"")</f>
        <v/>
      </c>
      <c r="F57" s="234" t="str">
        <f>IF('House of Quality 2'!$S$49&lt;&gt;"", 'House of Quality 2'!$S$49,"")</f>
        <v/>
      </c>
      <c r="G57" s="235"/>
      <c r="H57" s="235"/>
      <c r="I57" s="235"/>
      <c r="J57" s="235"/>
      <c r="K57" s="235"/>
      <c r="L57" s="236"/>
      <c r="M57" s="185"/>
      <c r="N57" s="186"/>
      <c r="O57" s="186"/>
      <c r="P57" s="186"/>
      <c r="Q57" s="186"/>
      <c r="R57" s="187"/>
      <c r="S57" s="185"/>
      <c r="T57" s="186"/>
      <c r="U57" s="186"/>
      <c r="V57" s="186"/>
      <c r="W57" s="186"/>
      <c r="X57" s="187"/>
      <c r="Y57" s="185"/>
      <c r="Z57" s="186"/>
      <c r="AA57" s="186"/>
      <c r="AB57" s="186"/>
      <c r="AC57" s="186"/>
      <c r="AD57" s="187"/>
      <c r="AE57" s="185"/>
      <c r="AF57" s="186"/>
      <c r="AG57" s="186"/>
      <c r="AH57" s="186"/>
      <c r="AI57" s="186"/>
      <c r="AJ57" s="187"/>
      <c r="AK57" s="185"/>
      <c r="AL57" s="186"/>
      <c r="AM57" s="186"/>
      <c r="AN57" s="186"/>
      <c r="AO57" s="186"/>
      <c r="AP57" s="187"/>
      <c r="AQ57" s="185"/>
      <c r="AR57" s="186"/>
      <c r="AS57" s="186"/>
      <c r="AT57" s="186"/>
      <c r="AU57" s="186"/>
      <c r="AV57" s="187"/>
      <c r="AW57" s="185"/>
      <c r="AX57" s="186"/>
      <c r="AY57" s="186"/>
      <c r="AZ57" s="186"/>
      <c r="BA57" s="186"/>
      <c r="BB57" s="187"/>
      <c r="BC57" s="185"/>
      <c r="BD57" s="186"/>
      <c r="BE57" s="186"/>
      <c r="BF57" s="186"/>
      <c r="BG57" s="186"/>
      <c r="BH57" s="187"/>
      <c r="BI57" s="185"/>
      <c r="BJ57" s="186"/>
      <c r="BK57" s="186"/>
      <c r="BL57" s="186"/>
      <c r="BM57" s="186"/>
      <c r="BN57" s="187"/>
      <c r="BO57" s="185"/>
      <c r="BP57" s="186"/>
      <c r="BQ57" s="186"/>
      <c r="BR57" s="186"/>
      <c r="BS57" s="186"/>
      <c r="BT57" s="187"/>
      <c r="BU57" s="185"/>
      <c r="BV57" s="186"/>
      <c r="BW57" s="186"/>
      <c r="BX57" s="186"/>
      <c r="BY57" s="186"/>
      <c r="BZ57" s="187"/>
      <c r="CA57" s="185"/>
      <c r="CB57" s="186"/>
      <c r="CC57" s="186"/>
      <c r="CD57" s="186"/>
      <c r="CE57" s="186"/>
      <c r="CF57" s="187"/>
      <c r="CG57" s="185"/>
      <c r="CH57" s="186"/>
      <c r="CI57" s="186"/>
      <c r="CJ57" s="186"/>
      <c r="CK57" s="186"/>
      <c r="CL57" s="187"/>
      <c r="CM57" s="185"/>
      <c r="CN57" s="186"/>
      <c r="CO57" s="186"/>
      <c r="CP57" s="186"/>
      <c r="CQ57" s="186"/>
      <c r="CR57" s="187"/>
      <c r="CS57" s="185"/>
      <c r="CT57" s="186"/>
      <c r="CU57" s="186"/>
      <c r="CV57" s="186"/>
      <c r="CW57" s="186"/>
      <c r="CX57" s="187"/>
      <c r="CY57" s="51"/>
      <c r="CZ57" s="114"/>
      <c r="DA57" s="114"/>
      <c r="DB57" s="114"/>
      <c r="DC57" s="114"/>
      <c r="DD57" s="114"/>
      <c r="DE57" s="114"/>
      <c r="DF57" s="114"/>
    </row>
    <row r="58" spans="1:110" s="65" customFormat="1" ht="15.75" customHeight="1" x14ac:dyDescent="0.25">
      <c r="A58" s="51"/>
      <c r="B58" s="31">
        <v>3</v>
      </c>
      <c r="C58" s="30">
        <f t="shared" si="0"/>
        <v>0</v>
      </c>
      <c r="D58" s="39" t="str">
        <f t="shared" si="1"/>
        <v/>
      </c>
      <c r="E58" s="112" t="str">
        <f>IF('House of Quality 2'!$Y$74&lt;&gt;0, 'House of Quality 2'!$Y$74,"")</f>
        <v/>
      </c>
      <c r="F58" s="234" t="str">
        <f>IF('House of Quality 2'!$Y$49&lt;&gt;"", 'House of Quality 2'!$Y$49,"")</f>
        <v/>
      </c>
      <c r="G58" s="235"/>
      <c r="H58" s="235"/>
      <c r="I58" s="235"/>
      <c r="J58" s="235"/>
      <c r="K58" s="235"/>
      <c r="L58" s="236"/>
      <c r="M58" s="185"/>
      <c r="N58" s="186"/>
      <c r="O58" s="186"/>
      <c r="P58" s="186"/>
      <c r="Q58" s="186"/>
      <c r="R58" s="187"/>
      <c r="S58" s="185"/>
      <c r="T58" s="186"/>
      <c r="U58" s="186"/>
      <c r="V58" s="186"/>
      <c r="W58" s="186"/>
      <c r="X58" s="187"/>
      <c r="Y58" s="185"/>
      <c r="Z58" s="186"/>
      <c r="AA58" s="186"/>
      <c r="AB58" s="186"/>
      <c r="AC58" s="186"/>
      <c r="AD58" s="187"/>
      <c r="AE58" s="185"/>
      <c r="AF58" s="186"/>
      <c r="AG58" s="186"/>
      <c r="AH58" s="186"/>
      <c r="AI58" s="186"/>
      <c r="AJ58" s="187"/>
      <c r="AK58" s="185"/>
      <c r="AL58" s="186"/>
      <c r="AM58" s="186"/>
      <c r="AN58" s="186"/>
      <c r="AO58" s="186"/>
      <c r="AP58" s="187"/>
      <c r="AQ58" s="185"/>
      <c r="AR58" s="186"/>
      <c r="AS58" s="186"/>
      <c r="AT58" s="186"/>
      <c r="AU58" s="186"/>
      <c r="AV58" s="187"/>
      <c r="AW58" s="185"/>
      <c r="AX58" s="186"/>
      <c r="AY58" s="186"/>
      <c r="AZ58" s="186"/>
      <c r="BA58" s="186"/>
      <c r="BB58" s="187"/>
      <c r="BC58" s="185"/>
      <c r="BD58" s="186"/>
      <c r="BE58" s="186"/>
      <c r="BF58" s="186"/>
      <c r="BG58" s="186"/>
      <c r="BH58" s="187"/>
      <c r="BI58" s="185"/>
      <c r="BJ58" s="186"/>
      <c r="BK58" s="186"/>
      <c r="BL58" s="186"/>
      <c r="BM58" s="186"/>
      <c r="BN58" s="187"/>
      <c r="BO58" s="185"/>
      <c r="BP58" s="186"/>
      <c r="BQ58" s="186"/>
      <c r="BR58" s="186"/>
      <c r="BS58" s="186"/>
      <c r="BT58" s="187"/>
      <c r="BU58" s="185"/>
      <c r="BV58" s="186"/>
      <c r="BW58" s="186"/>
      <c r="BX58" s="186"/>
      <c r="BY58" s="186"/>
      <c r="BZ58" s="187"/>
      <c r="CA58" s="185"/>
      <c r="CB58" s="186"/>
      <c r="CC58" s="186"/>
      <c r="CD58" s="186"/>
      <c r="CE58" s="186"/>
      <c r="CF58" s="187"/>
      <c r="CG58" s="185"/>
      <c r="CH58" s="186"/>
      <c r="CI58" s="186"/>
      <c r="CJ58" s="186"/>
      <c r="CK58" s="186"/>
      <c r="CL58" s="187"/>
      <c r="CM58" s="185"/>
      <c r="CN58" s="186"/>
      <c r="CO58" s="186"/>
      <c r="CP58" s="186"/>
      <c r="CQ58" s="186"/>
      <c r="CR58" s="187"/>
      <c r="CS58" s="185"/>
      <c r="CT58" s="186"/>
      <c r="CU58" s="186"/>
      <c r="CV58" s="186"/>
      <c r="CW58" s="186"/>
      <c r="CX58" s="187"/>
      <c r="CY58" s="51"/>
      <c r="CZ58" s="114"/>
      <c r="DA58" s="114"/>
      <c r="DB58" s="114"/>
      <c r="DC58" s="114"/>
      <c r="DD58" s="114"/>
      <c r="DE58" s="114"/>
      <c r="DF58" s="114"/>
    </row>
    <row r="59" spans="1:110" s="65" customFormat="1" ht="15.75" customHeight="1" x14ac:dyDescent="0.25">
      <c r="A59" s="51"/>
      <c r="B59" s="31">
        <v>4</v>
      </c>
      <c r="C59" s="30">
        <f t="shared" si="0"/>
        <v>0</v>
      </c>
      <c r="D59" s="39" t="str">
        <f t="shared" si="1"/>
        <v/>
      </c>
      <c r="E59" s="112" t="str">
        <f>IF('House of Quality 2'!$AE$74&lt;&gt;0, 'House of Quality 2'!$AE$74,"")</f>
        <v/>
      </c>
      <c r="F59" s="234" t="str">
        <f>IF('House of Quality 2'!$AE$49&lt;&gt;"", 'House of Quality 2'!$AE$49,"")</f>
        <v/>
      </c>
      <c r="G59" s="235"/>
      <c r="H59" s="235"/>
      <c r="I59" s="235"/>
      <c r="J59" s="235"/>
      <c r="K59" s="235"/>
      <c r="L59" s="236"/>
      <c r="M59" s="185"/>
      <c r="N59" s="186"/>
      <c r="O59" s="186"/>
      <c r="P59" s="186"/>
      <c r="Q59" s="186"/>
      <c r="R59" s="187"/>
      <c r="S59" s="185"/>
      <c r="T59" s="186"/>
      <c r="U59" s="186"/>
      <c r="V59" s="186"/>
      <c r="W59" s="186"/>
      <c r="X59" s="187"/>
      <c r="Y59" s="185"/>
      <c r="Z59" s="186"/>
      <c r="AA59" s="186"/>
      <c r="AB59" s="186"/>
      <c r="AC59" s="186"/>
      <c r="AD59" s="187"/>
      <c r="AE59" s="185"/>
      <c r="AF59" s="186"/>
      <c r="AG59" s="186"/>
      <c r="AH59" s="186"/>
      <c r="AI59" s="186"/>
      <c r="AJ59" s="187"/>
      <c r="AK59" s="185"/>
      <c r="AL59" s="186"/>
      <c r="AM59" s="186"/>
      <c r="AN59" s="186"/>
      <c r="AO59" s="186"/>
      <c r="AP59" s="187"/>
      <c r="AQ59" s="185"/>
      <c r="AR59" s="186"/>
      <c r="AS59" s="186"/>
      <c r="AT59" s="186"/>
      <c r="AU59" s="186"/>
      <c r="AV59" s="187"/>
      <c r="AW59" s="185"/>
      <c r="AX59" s="186"/>
      <c r="AY59" s="186"/>
      <c r="AZ59" s="186"/>
      <c r="BA59" s="186"/>
      <c r="BB59" s="187"/>
      <c r="BC59" s="185"/>
      <c r="BD59" s="186"/>
      <c r="BE59" s="186"/>
      <c r="BF59" s="186"/>
      <c r="BG59" s="186"/>
      <c r="BH59" s="187"/>
      <c r="BI59" s="185"/>
      <c r="BJ59" s="186"/>
      <c r="BK59" s="186"/>
      <c r="BL59" s="186"/>
      <c r="BM59" s="186"/>
      <c r="BN59" s="187"/>
      <c r="BO59" s="185"/>
      <c r="BP59" s="186"/>
      <c r="BQ59" s="186"/>
      <c r="BR59" s="186"/>
      <c r="BS59" s="186"/>
      <c r="BT59" s="187"/>
      <c r="BU59" s="185"/>
      <c r="BV59" s="186"/>
      <c r="BW59" s="186"/>
      <c r="BX59" s="186"/>
      <c r="BY59" s="186"/>
      <c r="BZ59" s="187"/>
      <c r="CA59" s="185"/>
      <c r="CB59" s="186"/>
      <c r="CC59" s="186"/>
      <c r="CD59" s="186"/>
      <c r="CE59" s="186"/>
      <c r="CF59" s="187"/>
      <c r="CG59" s="185"/>
      <c r="CH59" s="186"/>
      <c r="CI59" s="186"/>
      <c r="CJ59" s="186"/>
      <c r="CK59" s="186"/>
      <c r="CL59" s="187"/>
      <c r="CM59" s="185"/>
      <c r="CN59" s="186"/>
      <c r="CO59" s="186"/>
      <c r="CP59" s="186"/>
      <c r="CQ59" s="186"/>
      <c r="CR59" s="187"/>
      <c r="CS59" s="185"/>
      <c r="CT59" s="186"/>
      <c r="CU59" s="186"/>
      <c r="CV59" s="186"/>
      <c r="CW59" s="186"/>
      <c r="CX59" s="187"/>
      <c r="CY59" s="51"/>
      <c r="CZ59" s="114"/>
      <c r="DA59" s="114"/>
      <c r="DB59" s="114"/>
      <c r="DC59" s="114"/>
      <c r="DD59" s="114"/>
      <c r="DE59" s="114"/>
      <c r="DF59" s="114"/>
    </row>
    <row r="60" spans="1:110" s="65" customFormat="1" ht="15.75" customHeight="1" x14ac:dyDescent="0.25">
      <c r="A60" s="51"/>
      <c r="B60" s="31">
        <v>5</v>
      </c>
      <c r="C60" s="30">
        <f t="shared" si="0"/>
        <v>0</v>
      </c>
      <c r="D60" s="39" t="str">
        <f t="shared" si="1"/>
        <v/>
      </c>
      <c r="E60" s="112" t="str">
        <f>IF('House of Quality 2'!$AK$74&lt;&gt;0, 'House of Quality 2'!$AK$74,"")</f>
        <v/>
      </c>
      <c r="F60" s="234" t="str">
        <f>IF('House of Quality 2'!$AK$49&lt;&gt;"", 'House of Quality 2'!$AK$49,"")</f>
        <v/>
      </c>
      <c r="G60" s="235"/>
      <c r="H60" s="235"/>
      <c r="I60" s="235"/>
      <c r="J60" s="235"/>
      <c r="K60" s="235"/>
      <c r="L60" s="236"/>
      <c r="M60" s="185"/>
      <c r="N60" s="186"/>
      <c r="O60" s="186"/>
      <c r="P60" s="186"/>
      <c r="Q60" s="186"/>
      <c r="R60" s="187"/>
      <c r="S60" s="185"/>
      <c r="T60" s="186"/>
      <c r="U60" s="186"/>
      <c r="V60" s="186"/>
      <c r="W60" s="186"/>
      <c r="X60" s="187"/>
      <c r="Y60" s="185"/>
      <c r="Z60" s="186"/>
      <c r="AA60" s="186"/>
      <c r="AB60" s="186"/>
      <c r="AC60" s="186"/>
      <c r="AD60" s="187"/>
      <c r="AE60" s="185"/>
      <c r="AF60" s="186"/>
      <c r="AG60" s="186"/>
      <c r="AH60" s="186"/>
      <c r="AI60" s="186"/>
      <c r="AJ60" s="187"/>
      <c r="AK60" s="185"/>
      <c r="AL60" s="186"/>
      <c r="AM60" s="186"/>
      <c r="AN60" s="186"/>
      <c r="AO60" s="186"/>
      <c r="AP60" s="187"/>
      <c r="AQ60" s="185"/>
      <c r="AR60" s="186"/>
      <c r="AS60" s="186"/>
      <c r="AT60" s="186"/>
      <c r="AU60" s="186"/>
      <c r="AV60" s="187"/>
      <c r="AW60" s="185"/>
      <c r="AX60" s="186"/>
      <c r="AY60" s="186"/>
      <c r="AZ60" s="186"/>
      <c r="BA60" s="186"/>
      <c r="BB60" s="187"/>
      <c r="BC60" s="185"/>
      <c r="BD60" s="186"/>
      <c r="BE60" s="186"/>
      <c r="BF60" s="186"/>
      <c r="BG60" s="186"/>
      <c r="BH60" s="187"/>
      <c r="BI60" s="185"/>
      <c r="BJ60" s="186"/>
      <c r="BK60" s="186"/>
      <c r="BL60" s="186"/>
      <c r="BM60" s="186"/>
      <c r="BN60" s="187"/>
      <c r="BO60" s="185"/>
      <c r="BP60" s="186"/>
      <c r="BQ60" s="186"/>
      <c r="BR60" s="186"/>
      <c r="BS60" s="186"/>
      <c r="BT60" s="187"/>
      <c r="BU60" s="185"/>
      <c r="BV60" s="186"/>
      <c r="BW60" s="186"/>
      <c r="BX60" s="186"/>
      <c r="BY60" s="186"/>
      <c r="BZ60" s="187"/>
      <c r="CA60" s="185"/>
      <c r="CB60" s="186"/>
      <c r="CC60" s="186"/>
      <c r="CD60" s="186"/>
      <c r="CE60" s="186"/>
      <c r="CF60" s="187"/>
      <c r="CG60" s="185"/>
      <c r="CH60" s="186"/>
      <c r="CI60" s="186"/>
      <c r="CJ60" s="186"/>
      <c r="CK60" s="186"/>
      <c r="CL60" s="187"/>
      <c r="CM60" s="185"/>
      <c r="CN60" s="186"/>
      <c r="CO60" s="186"/>
      <c r="CP60" s="186"/>
      <c r="CQ60" s="186"/>
      <c r="CR60" s="187"/>
      <c r="CS60" s="185"/>
      <c r="CT60" s="186"/>
      <c r="CU60" s="186"/>
      <c r="CV60" s="186"/>
      <c r="CW60" s="186"/>
      <c r="CX60" s="187"/>
      <c r="CY60" s="51"/>
      <c r="CZ60" s="114"/>
      <c r="DA60" s="114"/>
      <c r="DB60" s="114"/>
      <c r="DC60" s="114"/>
      <c r="DD60" s="114"/>
      <c r="DE60" s="114"/>
      <c r="DF60" s="114"/>
    </row>
    <row r="61" spans="1:110" s="65" customFormat="1" ht="15.75" customHeight="1" x14ac:dyDescent="0.25">
      <c r="A61" s="51"/>
      <c r="B61" s="31">
        <v>6</v>
      </c>
      <c r="C61" s="30">
        <f t="shared" si="0"/>
        <v>0</v>
      </c>
      <c r="D61" s="39" t="str">
        <f t="shared" si="1"/>
        <v/>
      </c>
      <c r="E61" s="112" t="str">
        <f>IF('House of Quality 2'!$AQ$74&lt;&gt;0, 'House of Quality 2'!$AQ$74,"")</f>
        <v/>
      </c>
      <c r="F61" s="234" t="str">
        <f>IF('House of Quality 2'!$AQ$49&lt;&gt;"", 'House of Quality 2'!$AQ$49,"")</f>
        <v/>
      </c>
      <c r="G61" s="235"/>
      <c r="H61" s="235"/>
      <c r="I61" s="235"/>
      <c r="J61" s="235"/>
      <c r="K61" s="235"/>
      <c r="L61" s="236"/>
      <c r="M61" s="185"/>
      <c r="N61" s="186"/>
      <c r="O61" s="186"/>
      <c r="P61" s="186"/>
      <c r="Q61" s="186"/>
      <c r="R61" s="187"/>
      <c r="S61" s="185"/>
      <c r="T61" s="186"/>
      <c r="U61" s="186"/>
      <c r="V61" s="186"/>
      <c r="W61" s="186"/>
      <c r="X61" s="187"/>
      <c r="Y61" s="185"/>
      <c r="Z61" s="186"/>
      <c r="AA61" s="186"/>
      <c r="AB61" s="186"/>
      <c r="AC61" s="186"/>
      <c r="AD61" s="187"/>
      <c r="AE61" s="185"/>
      <c r="AF61" s="186"/>
      <c r="AG61" s="186"/>
      <c r="AH61" s="186"/>
      <c r="AI61" s="186"/>
      <c r="AJ61" s="187"/>
      <c r="AK61" s="185"/>
      <c r="AL61" s="186"/>
      <c r="AM61" s="186"/>
      <c r="AN61" s="186"/>
      <c r="AO61" s="186"/>
      <c r="AP61" s="187"/>
      <c r="AQ61" s="185"/>
      <c r="AR61" s="186"/>
      <c r="AS61" s="186"/>
      <c r="AT61" s="186"/>
      <c r="AU61" s="186"/>
      <c r="AV61" s="187"/>
      <c r="AW61" s="185"/>
      <c r="AX61" s="186"/>
      <c r="AY61" s="186"/>
      <c r="AZ61" s="186"/>
      <c r="BA61" s="186"/>
      <c r="BB61" s="187"/>
      <c r="BC61" s="185"/>
      <c r="BD61" s="186"/>
      <c r="BE61" s="186"/>
      <c r="BF61" s="186"/>
      <c r="BG61" s="186"/>
      <c r="BH61" s="187"/>
      <c r="BI61" s="185"/>
      <c r="BJ61" s="186"/>
      <c r="BK61" s="186"/>
      <c r="BL61" s="186"/>
      <c r="BM61" s="186"/>
      <c r="BN61" s="187"/>
      <c r="BO61" s="185"/>
      <c r="BP61" s="186"/>
      <c r="BQ61" s="186"/>
      <c r="BR61" s="186"/>
      <c r="BS61" s="186"/>
      <c r="BT61" s="187"/>
      <c r="BU61" s="185"/>
      <c r="BV61" s="186"/>
      <c r="BW61" s="186"/>
      <c r="BX61" s="186"/>
      <c r="BY61" s="186"/>
      <c r="BZ61" s="187"/>
      <c r="CA61" s="185"/>
      <c r="CB61" s="186"/>
      <c r="CC61" s="186"/>
      <c r="CD61" s="186"/>
      <c r="CE61" s="186"/>
      <c r="CF61" s="187"/>
      <c r="CG61" s="185"/>
      <c r="CH61" s="186"/>
      <c r="CI61" s="186"/>
      <c r="CJ61" s="186"/>
      <c r="CK61" s="186"/>
      <c r="CL61" s="187"/>
      <c r="CM61" s="185"/>
      <c r="CN61" s="186"/>
      <c r="CO61" s="186"/>
      <c r="CP61" s="186"/>
      <c r="CQ61" s="186"/>
      <c r="CR61" s="187"/>
      <c r="CS61" s="185"/>
      <c r="CT61" s="186"/>
      <c r="CU61" s="186"/>
      <c r="CV61" s="186"/>
      <c r="CW61" s="186"/>
      <c r="CX61" s="187"/>
      <c r="CY61" s="51"/>
      <c r="CZ61" s="114"/>
      <c r="DA61" s="114"/>
      <c r="DB61" s="114"/>
      <c r="DC61" s="114"/>
      <c r="DD61" s="114"/>
      <c r="DE61" s="114"/>
      <c r="DF61" s="114"/>
    </row>
    <row r="62" spans="1:110" s="65" customFormat="1" ht="15.75" customHeight="1" x14ac:dyDescent="0.25">
      <c r="A62" s="51"/>
      <c r="B62" s="31">
        <v>7</v>
      </c>
      <c r="C62" s="30">
        <f t="shared" si="0"/>
        <v>0</v>
      </c>
      <c r="D62" s="39" t="str">
        <f t="shared" si="1"/>
        <v/>
      </c>
      <c r="E62" s="112" t="str">
        <f>IF('House of Quality 2'!$AW$74&lt;&gt;0, 'House of Quality 2'!$AW$74,"")</f>
        <v/>
      </c>
      <c r="F62" s="234" t="str">
        <f>IF('House of Quality 2'!$AW$49&lt;&gt;"", 'House of Quality 2'!$AW$49,"")</f>
        <v/>
      </c>
      <c r="G62" s="235"/>
      <c r="H62" s="235"/>
      <c r="I62" s="235"/>
      <c r="J62" s="235"/>
      <c r="K62" s="235"/>
      <c r="L62" s="236"/>
      <c r="M62" s="185"/>
      <c r="N62" s="186"/>
      <c r="O62" s="186"/>
      <c r="P62" s="186"/>
      <c r="Q62" s="186"/>
      <c r="R62" s="187"/>
      <c r="S62" s="185"/>
      <c r="T62" s="186"/>
      <c r="U62" s="186"/>
      <c r="V62" s="186"/>
      <c r="W62" s="186"/>
      <c r="X62" s="187"/>
      <c r="Y62" s="185"/>
      <c r="Z62" s="186"/>
      <c r="AA62" s="186"/>
      <c r="AB62" s="186"/>
      <c r="AC62" s="186"/>
      <c r="AD62" s="187"/>
      <c r="AE62" s="185"/>
      <c r="AF62" s="186"/>
      <c r="AG62" s="186"/>
      <c r="AH62" s="186"/>
      <c r="AI62" s="186"/>
      <c r="AJ62" s="187"/>
      <c r="AK62" s="185"/>
      <c r="AL62" s="186"/>
      <c r="AM62" s="186"/>
      <c r="AN62" s="186"/>
      <c r="AO62" s="186"/>
      <c r="AP62" s="187"/>
      <c r="AQ62" s="185"/>
      <c r="AR62" s="186"/>
      <c r="AS62" s="186"/>
      <c r="AT62" s="186"/>
      <c r="AU62" s="186"/>
      <c r="AV62" s="187"/>
      <c r="AW62" s="185"/>
      <c r="AX62" s="186"/>
      <c r="AY62" s="186"/>
      <c r="AZ62" s="186"/>
      <c r="BA62" s="186"/>
      <c r="BB62" s="187"/>
      <c r="BC62" s="185"/>
      <c r="BD62" s="186"/>
      <c r="BE62" s="186"/>
      <c r="BF62" s="186"/>
      <c r="BG62" s="186"/>
      <c r="BH62" s="187"/>
      <c r="BI62" s="185"/>
      <c r="BJ62" s="186"/>
      <c r="BK62" s="186"/>
      <c r="BL62" s="186"/>
      <c r="BM62" s="186"/>
      <c r="BN62" s="187"/>
      <c r="BO62" s="185"/>
      <c r="BP62" s="186"/>
      <c r="BQ62" s="186"/>
      <c r="BR62" s="186"/>
      <c r="BS62" s="186"/>
      <c r="BT62" s="187"/>
      <c r="BU62" s="185"/>
      <c r="BV62" s="186"/>
      <c r="BW62" s="186"/>
      <c r="BX62" s="186"/>
      <c r="BY62" s="186"/>
      <c r="BZ62" s="187"/>
      <c r="CA62" s="185"/>
      <c r="CB62" s="186"/>
      <c r="CC62" s="186"/>
      <c r="CD62" s="186"/>
      <c r="CE62" s="186"/>
      <c r="CF62" s="187"/>
      <c r="CG62" s="185"/>
      <c r="CH62" s="186"/>
      <c r="CI62" s="186"/>
      <c r="CJ62" s="186"/>
      <c r="CK62" s="186"/>
      <c r="CL62" s="187"/>
      <c r="CM62" s="185"/>
      <c r="CN62" s="186"/>
      <c r="CO62" s="186"/>
      <c r="CP62" s="186"/>
      <c r="CQ62" s="186"/>
      <c r="CR62" s="187"/>
      <c r="CS62" s="185"/>
      <c r="CT62" s="186"/>
      <c r="CU62" s="186"/>
      <c r="CV62" s="186"/>
      <c r="CW62" s="186"/>
      <c r="CX62" s="187"/>
      <c r="CY62" s="51"/>
      <c r="CZ62" s="114"/>
      <c r="DA62" s="114"/>
      <c r="DB62" s="114"/>
      <c r="DC62" s="114"/>
      <c r="DD62" s="114"/>
      <c r="DE62" s="114"/>
      <c r="DF62" s="114"/>
    </row>
    <row r="63" spans="1:110" s="65" customFormat="1" ht="15.75" customHeight="1" x14ac:dyDescent="0.25">
      <c r="A63" s="51"/>
      <c r="B63" s="31">
        <v>8</v>
      </c>
      <c r="C63" s="30">
        <f t="shared" si="0"/>
        <v>0</v>
      </c>
      <c r="D63" s="39" t="str">
        <f t="shared" si="1"/>
        <v/>
      </c>
      <c r="E63" s="112" t="str">
        <f>IF('House of Quality 2'!$BC$74&lt;&gt;0, 'House of Quality 2'!$BC$74,"")</f>
        <v/>
      </c>
      <c r="F63" s="234" t="str">
        <f>IF('House of Quality 2'!$BC$49&lt;&gt;"", 'House of Quality 2'!$BC$49,"")</f>
        <v/>
      </c>
      <c r="G63" s="235"/>
      <c r="H63" s="235"/>
      <c r="I63" s="235"/>
      <c r="J63" s="235"/>
      <c r="K63" s="235"/>
      <c r="L63" s="236"/>
      <c r="M63" s="185"/>
      <c r="N63" s="186"/>
      <c r="O63" s="186"/>
      <c r="P63" s="186"/>
      <c r="Q63" s="186"/>
      <c r="R63" s="187"/>
      <c r="S63" s="185"/>
      <c r="T63" s="186"/>
      <c r="U63" s="186"/>
      <c r="V63" s="186"/>
      <c r="W63" s="186"/>
      <c r="X63" s="187"/>
      <c r="Y63" s="185"/>
      <c r="Z63" s="186"/>
      <c r="AA63" s="186"/>
      <c r="AB63" s="186"/>
      <c r="AC63" s="186"/>
      <c r="AD63" s="187"/>
      <c r="AE63" s="185"/>
      <c r="AF63" s="186"/>
      <c r="AG63" s="186"/>
      <c r="AH63" s="186"/>
      <c r="AI63" s="186"/>
      <c r="AJ63" s="187"/>
      <c r="AK63" s="185"/>
      <c r="AL63" s="186"/>
      <c r="AM63" s="186"/>
      <c r="AN63" s="186"/>
      <c r="AO63" s="186"/>
      <c r="AP63" s="187"/>
      <c r="AQ63" s="185"/>
      <c r="AR63" s="186"/>
      <c r="AS63" s="186"/>
      <c r="AT63" s="186"/>
      <c r="AU63" s="186"/>
      <c r="AV63" s="187"/>
      <c r="AW63" s="185"/>
      <c r="AX63" s="186"/>
      <c r="AY63" s="186"/>
      <c r="AZ63" s="186"/>
      <c r="BA63" s="186"/>
      <c r="BB63" s="187"/>
      <c r="BC63" s="185"/>
      <c r="BD63" s="186"/>
      <c r="BE63" s="186"/>
      <c r="BF63" s="186"/>
      <c r="BG63" s="186"/>
      <c r="BH63" s="187"/>
      <c r="BI63" s="185"/>
      <c r="BJ63" s="186"/>
      <c r="BK63" s="186"/>
      <c r="BL63" s="186"/>
      <c r="BM63" s="186"/>
      <c r="BN63" s="187"/>
      <c r="BO63" s="185"/>
      <c r="BP63" s="186"/>
      <c r="BQ63" s="186"/>
      <c r="BR63" s="186"/>
      <c r="BS63" s="186"/>
      <c r="BT63" s="187"/>
      <c r="BU63" s="185"/>
      <c r="BV63" s="186"/>
      <c r="BW63" s="186"/>
      <c r="BX63" s="186"/>
      <c r="BY63" s="186"/>
      <c r="BZ63" s="187"/>
      <c r="CA63" s="185"/>
      <c r="CB63" s="186"/>
      <c r="CC63" s="186"/>
      <c r="CD63" s="186"/>
      <c r="CE63" s="186"/>
      <c r="CF63" s="187"/>
      <c r="CG63" s="185"/>
      <c r="CH63" s="186"/>
      <c r="CI63" s="186"/>
      <c r="CJ63" s="186"/>
      <c r="CK63" s="186"/>
      <c r="CL63" s="187"/>
      <c r="CM63" s="185"/>
      <c r="CN63" s="186"/>
      <c r="CO63" s="186"/>
      <c r="CP63" s="186"/>
      <c r="CQ63" s="186"/>
      <c r="CR63" s="187"/>
      <c r="CS63" s="185"/>
      <c r="CT63" s="186"/>
      <c r="CU63" s="186"/>
      <c r="CV63" s="186"/>
      <c r="CW63" s="186"/>
      <c r="CX63" s="187"/>
      <c r="CY63" s="51"/>
      <c r="CZ63" s="114"/>
      <c r="DA63" s="114"/>
      <c r="DB63" s="114"/>
      <c r="DC63" s="114"/>
      <c r="DD63" s="114"/>
      <c r="DE63" s="114"/>
      <c r="DF63" s="114"/>
    </row>
    <row r="64" spans="1:110" s="65" customFormat="1" ht="15.75" customHeight="1" x14ac:dyDescent="0.25">
      <c r="A64" s="51"/>
      <c r="B64" s="31">
        <v>9</v>
      </c>
      <c r="C64" s="30">
        <f t="shared" si="0"/>
        <v>0</v>
      </c>
      <c r="D64" s="39" t="str">
        <f t="shared" si="1"/>
        <v/>
      </c>
      <c r="E64" s="112" t="str">
        <f>IF('House of Quality 2'!$BI$74&lt;&gt;0, 'House of Quality 2'!$BI$74,"")</f>
        <v/>
      </c>
      <c r="F64" s="234" t="str">
        <f>IF('House of Quality 2'!$BI$49&lt;&gt;"", 'House of Quality 2'!$BI$49,"")</f>
        <v/>
      </c>
      <c r="G64" s="235"/>
      <c r="H64" s="235"/>
      <c r="I64" s="235"/>
      <c r="J64" s="235"/>
      <c r="K64" s="235"/>
      <c r="L64" s="236"/>
      <c r="M64" s="185"/>
      <c r="N64" s="186"/>
      <c r="O64" s="186"/>
      <c r="P64" s="186"/>
      <c r="Q64" s="186"/>
      <c r="R64" s="187"/>
      <c r="S64" s="185"/>
      <c r="T64" s="186"/>
      <c r="U64" s="186"/>
      <c r="V64" s="186"/>
      <c r="W64" s="186"/>
      <c r="X64" s="187"/>
      <c r="Y64" s="185"/>
      <c r="Z64" s="186"/>
      <c r="AA64" s="186"/>
      <c r="AB64" s="186"/>
      <c r="AC64" s="186"/>
      <c r="AD64" s="187"/>
      <c r="AE64" s="185"/>
      <c r="AF64" s="186"/>
      <c r="AG64" s="186"/>
      <c r="AH64" s="186"/>
      <c r="AI64" s="186"/>
      <c r="AJ64" s="187"/>
      <c r="AK64" s="185"/>
      <c r="AL64" s="186"/>
      <c r="AM64" s="186"/>
      <c r="AN64" s="186"/>
      <c r="AO64" s="186"/>
      <c r="AP64" s="187"/>
      <c r="AQ64" s="185"/>
      <c r="AR64" s="186"/>
      <c r="AS64" s="186"/>
      <c r="AT64" s="186"/>
      <c r="AU64" s="186"/>
      <c r="AV64" s="187"/>
      <c r="AW64" s="185"/>
      <c r="AX64" s="186"/>
      <c r="AY64" s="186"/>
      <c r="AZ64" s="186"/>
      <c r="BA64" s="186"/>
      <c r="BB64" s="187"/>
      <c r="BC64" s="185"/>
      <c r="BD64" s="186"/>
      <c r="BE64" s="186"/>
      <c r="BF64" s="186"/>
      <c r="BG64" s="186"/>
      <c r="BH64" s="187"/>
      <c r="BI64" s="185"/>
      <c r="BJ64" s="186"/>
      <c r="BK64" s="186"/>
      <c r="BL64" s="186"/>
      <c r="BM64" s="186"/>
      <c r="BN64" s="187"/>
      <c r="BO64" s="185"/>
      <c r="BP64" s="186"/>
      <c r="BQ64" s="186"/>
      <c r="BR64" s="186"/>
      <c r="BS64" s="186"/>
      <c r="BT64" s="187"/>
      <c r="BU64" s="185"/>
      <c r="BV64" s="186"/>
      <c r="BW64" s="186"/>
      <c r="BX64" s="186"/>
      <c r="BY64" s="186"/>
      <c r="BZ64" s="187"/>
      <c r="CA64" s="185"/>
      <c r="CB64" s="186"/>
      <c r="CC64" s="186"/>
      <c r="CD64" s="186"/>
      <c r="CE64" s="186"/>
      <c r="CF64" s="187"/>
      <c r="CG64" s="185"/>
      <c r="CH64" s="186"/>
      <c r="CI64" s="186"/>
      <c r="CJ64" s="186"/>
      <c r="CK64" s="186"/>
      <c r="CL64" s="187"/>
      <c r="CM64" s="185"/>
      <c r="CN64" s="186"/>
      <c r="CO64" s="186"/>
      <c r="CP64" s="186"/>
      <c r="CQ64" s="186"/>
      <c r="CR64" s="187"/>
      <c r="CS64" s="185"/>
      <c r="CT64" s="186"/>
      <c r="CU64" s="186"/>
      <c r="CV64" s="186"/>
      <c r="CW64" s="186"/>
      <c r="CX64" s="187"/>
      <c r="CY64" s="51"/>
      <c r="CZ64" s="114"/>
      <c r="DA64" s="114"/>
      <c r="DB64" s="114"/>
      <c r="DC64" s="114"/>
      <c r="DD64" s="114"/>
      <c r="DE64" s="114"/>
      <c r="DF64" s="114"/>
    </row>
    <row r="65" spans="1:113" s="65" customFormat="1" ht="15.75" customHeight="1" x14ac:dyDescent="0.25">
      <c r="A65" s="51"/>
      <c r="B65" s="31">
        <v>10</v>
      </c>
      <c r="C65" s="30">
        <f t="shared" si="0"/>
        <v>0</v>
      </c>
      <c r="D65" s="39" t="str">
        <f t="shared" si="1"/>
        <v/>
      </c>
      <c r="E65" s="112" t="str">
        <f>IF('House of Quality 2'!$BO$74&lt;&gt;0, 'House of Quality 2'!$BO$74,"")</f>
        <v/>
      </c>
      <c r="F65" s="234" t="str">
        <f>IF('House of Quality 2'!$BO$49&lt;&gt;"", 'House of Quality 2'!$BO$49,"")</f>
        <v/>
      </c>
      <c r="G65" s="235"/>
      <c r="H65" s="235"/>
      <c r="I65" s="235"/>
      <c r="J65" s="235"/>
      <c r="K65" s="235"/>
      <c r="L65" s="236"/>
      <c r="M65" s="185"/>
      <c r="N65" s="186"/>
      <c r="O65" s="186"/>
      <c r="P65" s="186"/>
      <c r="Q65" s="186"/>
      <c r="R65" s="187"/>
      <c r="S65" s="185"/>
      <c r="T65" s="186"/>
      <c r="U65" s="186"/>
      <c r="V65" s="186"/>
      <c r="W65" s="186"/>
      <c r="X65" s="187"/>
      <c r="Y65" s="185"/>
      <c r="Z65" s="186"/>
      <c r="AA65" s="186"/>
      <c r="AB65" s="186"/>
      <c r="AC65" s="186"/>
      <c r="AD65" s="187"/>
      <c r="AE65" s="185"/>
      <c r="AF65" s="186"/>
      <c r="AG65" s="186"/>
      <c r="AH65" s="186"/>
      <c r="AI65" s="186"/>
      <c r="AJ65" s="187"/>
      <c r="AK65" s="185"/>
      <c r="AL65" s="186"/>
      <c r="AM65" s="186"/>
      <c r="AN65" s="186"/>
      <c r="AO65" s="186"/>
      <c r="AP65" s="187"/>
      <c r="AQ65" s="185"/>
      <c r="AR65" s="186"/>
      <c r="AS65" s="186"/>
      <c r="AT65" s="186"/>
      <c r="AU65" s="186"/>
      <c r="AV65" s="187"/>
      <c r="AW65" s="185"/>
      <c r="AX65" s="186"/>
      <c r="AY65" s="186"/>
      <c r="AZ65" s="186"/>
      <c r="BA65" s="186"/>
      <c r="BB65" s="187"/>
      <c r="BC65" s="185"/>
      <c r="BD65" s="186"/>
      <c r="BE65" s="186"/>
      <c r="BF65" s="186"/>
      <c r="BG65" s="186"/>
      <c r="BH65" s="187"/>
      <c r="BI65" s="185"/>
      <c r="BJ65" s="186"/>
      <c r="BK65" s="186"/>
      <c r="BL65" s="186"/>
      <c r="BM65" s="186"/>
      <c r="BN65" s="187"/>
      <c r="BO65" s="185"/>
      <c r="BP65" s="186"/>
      <c r="BQ65" s="186"/>
      <c r="BR65" s="186"/>
      <c r="BS65" s="186"/>
      <c r="BT65" s="187"/>
      <c r="BU65" s="185"/>
      <c r="BV65" s="186"/>
      <c r="BW65" s="186"/>
      <c r="BX65" s="186"/>
      <c r="BY65" s="186"/>
      <c r="BZ65" s="187"/>
      <c r="CA65" s="185"/>
      <c r="CB65" s="186"/>
      <c r="CC65" s="186"/>
      <c r="CD65" s="186"/>
      <c r="CE65" s="186"/>
      <c r="CF65" s="187"/>
      <c r="CG65" s="185"/>
      <c r="CH65" s="186"/>
      <c r="CI65" s="186"/>
      <c r="CJ65" s="186"/>
      <c r="CK65" s="186"/>
      <c r="CL65" s="187"/>
      <c r="CM65" s="185"/>
      <c r="CN65" s="186"/>
      <c r="CO65" s="186"/>
      <c r="CP65" s="186"/>
      <c r="CQ65" s="186"/>
      <c r="CR65" s="187"/>
      <c r="CS65" s="185"/>
      <c r="CT65" s="186"/>
      <c r="CU65" s="186"/>
      <c r="CV65" s="186"/>
      <c r="CW65" s="186"/>
      <c r="CX65" s="187"/>
      <c r="CY65" s="51"/>
      <c r="CZ65" s="114"/>
      <c r="DA65" s="114"/>
      <c r="DB65" s="114"/>
      <c r="DC65" s="114"/>
      <c r="DD65" s="114"/>
      <c r="DE65" s="114"/>
      <c r="DF65" s="114"/>
    </row>
    <row r="66" spans="1:113" s="65" customFormat="1" ht="15.75" customHeight="1" x14ac:dyDescent="0.25">
      <c r="A66" s="51"/>
      <c r="B66" s="31">
        <v>11</v>
      </c>
      <c r="C66" s="30">
        <f t="shared" si="0"/>
        <v>0</v>
      </c>
      <c r="D66" s="39" t="str">
        <f t="shared" si="1"/>
        <v/>
      </c>
      <c r="E66" s="112" t="str">
        <f>IF('House of Quality 2'!$BU$74&lt;&gt;0, 'House of Quality 2'!$BU$74,"")</f>
        <v/>
      </c>
      <c r="F66" s="234" t="str">
        <f>IF('House of Quality 2'!$BU$49&lt;&gt;"", 'House of Quality 2'!$BU$49,"")</f>
        <v/>
      </c>
      <c r="G66" s="235"/>
      <c r="H66" s="235"/>
      <c r="I66" s="235"/>
      <c r="J66" s="235"/>
      <c r="K66" s="235"/>
      <c r="L66" s="236"/>
      <c r="M66" s="185"/>
      <c r="N66" s="186"/>
      <c r="O66" s="186"/>
      <c r="P66" s="186"/>
      <c r="Q66" s="186"/>
      <c r="R66" s="187"/>
      <c r="S66" s="185"/>
      <c r="T66" s="186"/>
      <c r="U66" s="186"/>
      <c r="V66" s="186"/>
      <c r="W66" s="186"/>
      <c r="X66" s="187"/>
      <c r="Y66" s="185"/>
      <c r="Z66" s="186"/>
      <c r="AA66" s="186"/>
      <c r="AB66" s="186"/>
      <c r="AC66" s="186"/>
      <c r="AD66" s="187"/>
      <c r="AE66" s="185"/>
      <c r="AF66" s="186"/>
      <c r="AG66" s="186"/>
      <c r="AH66" s="186"/>
      <c r="AI66" s="186"/>
      <c r="AJ66" s="187"/>
      <c r="AK66" s="185"/>
      <c r="AL66" s="186"/>
      <c r="AM66" s="186"/>
      <c r="AN66" s="186"/>
      <c r="AO66" s="186"/>
      <c r="AP66" s="187"/>
      <c r="AQ66" s="185"/>
      <c r="AR66" s="186"/>
      <c r="AS66" s="186"/>
      <c r="AT66" s="186"/>
      <c r="AU66" s="186"/>
      <c r="AV66" s="187"/>
      <c r="AW66" s="185"/>
      <c r="AX66" s="186"/>
      <c r="AY66" s="186"/>
      <c r="AZ66" s="186"/>
      <c r="BA66" s="186"/>
      <c r="BB66" s="187"/>
      <c r="BC66" s="185"/>
      <c r="BD66" s="186"/>
      <c r="BE66" s="186"/>
      <c r="BF66" s="186"/>
      <c r="BG66" s="186"/>
      <c r="BH66" s="187"/>
      <c r="BI66" s="185"/>
      <c r="BJ66" s="186"/>
      <c r="BK66" s="186"/>
      <c r="BL66" s="186"/>
      <c r="BM66" s="186"/>
      <c r="BN66" s="187"/>
      <c r="BO66" s="185"/>
      <c r="BP66" s="186"/>
      <c r="BQ66" s="186"/>
      <c r="BR66" s="186"/>
      <c r="BS66" s="186"/>
      <c r="BT66" s="187"/>
      <c r="BU66" s="185"/>
      <c r="BV66" s="186"/>
      <c r="BW66" s="186"/>
      <c r="BX66" s="186"/>
      <c r="BY66" s="186"/>
      <c r="BZ66" s="187"/>
      <c r="CA66" s="185"/>
      <c r="CB66" s="186"/>
      <c r="CC66" s="186"/>
      <c r="CD66" s="186"/>
      <c r="CE66" s="186"/>
      <c r="CF66" s="187"/>
      <c r="CG66" s="185"/>
      <c r="CH66" s="186"/>
      <c r="CI66" s="186"/>
      <c r="CJ66" s="186"/>
      <c r="CK66" s="186"/>
      <c r="CL66" s="187"/>
      <c r="CM66" s="185"/>
      <c r="CN66" s="186"/>
      <c r="CO66" s="186"/>
      <c r="CP66" s="186"/>
      <c r="CQ66" s="186"/>
      <c r="CR66" s="187"/>
      <c r="CS66" s="212"/>
      <c r="CT66" s="212"/>
      <c r="CU66" s="212"/>
      <c r="CV66" s="212"/>
      <c r="CW66" s="212"/>
      <c r="CX66" s="212"/>
      <c r="CY66" s="51"/>
      <c r="CZ66" s="114"/>
      <c r="DA66" s="114"/>
      <c r="DB66" s="114"/>
      <c r="DC66" s="114"/>
      <c r="DD66" s="114"/>
      <c r="DE66" s="114"/>
      <c r="DF66" s="114"/>
    </row>
    <row r="67" spans="1:113" s="65" customFormat="1" ht="15.75" customHeight="1" x14ac:dyDescent="0.25">
      <c r="A67" s="51"/>
      <c r="B67" s="31">
        <v>12</v>
      </c>
      <c r="C67" s="30">
        <f t="shared" si="0"/>
        <v>0</v>
      </c>
      <c r="D67" s="39" t="str">
        <f t="shared" si="1"/>
        <v/>
      </c>
      <c r="E67" s="112" t="str">
        <f>IF('House of Quality 2'!$CA$74&lt;&gt;0, 'House of Quality 2'!$CA$74,"")</f>
        <v/>
      </c>
      <c r="F67" s="234" t="str">
        <f>IF('House of Quality 2'!$CA$49&lt;&gt;"", 'House of Quality 2'!$CA$49,"")</f>
        <v/>
      </c>
      <c r="G67" s="235"/>
      <c r="H67" s="235"/>
      <c r="I67" s="235"/>
      <c r="J67" s="235"/>
      <c r="K67" s="235"/>
      <c r="L67" s="236"/>
      <c r="M67" s="185"/>
      <c r="N67" s="186"/>
      <c r="O67" s="186"/>
      <c r="P67" s="186"/>
      <c r="Q67" s="186"/>
      <c r="R67" s="187"/>
      <c r="S67" s="185"/>
      <c r="T67" s="186"/>
      <c r="U67" s="186"/>
      <c r="V67" s="186"/>
      <c r="W67" s="186"/>
      <c r="X67" s="187"/>
      <c r="Y67" s="185"/>
      <c r="Z67" s="186"/>
      <c r="AA67" s="186"/>
      <c r="AB67" s="186"/>
      <c r="AC67" s="186"/>
      <c r="AD67" s="187"/>
      <c r="AE67" s="185"/>
      <c r="AF67" s="186"/>
      <c r="AG67" s="186"/>
      <c r="AH67" s="186"/>
      <c r="AI67" s="186"/>
      <c r="AJ67" s="187"/>
      <c r="AK67" s="185"/>
      <c r="AL67" s="186"/>
      <c r="AM67" s="186"/>
      <c r="AN67" s="186"/>
      <c r="AO67" s="186"/>
      <c r="AP67" s="187"/>
      <c r="AQ67" s="185"/>
      <c r="AR67" s="186"/>
      <c r="AS67" s="186"/>
      <c r="AT67" s="186"/>
      <c r="AU67" s="186"/>
      <c r="AV67" s="187"/>
      <c r="AW67" s="185"/>
      <c r="AX67" s="186"/>
      <c r="AY67" s="186"/>
      <c r="AZ67" s="186"/>
      <c r="BA67" s="186"/>
      <c r="BB67" s="187"/>
      <c r="BC67" s="185"/>
      <c r="BD67" s="186"/>
      <c r="BE67" s="186"/>
      <c r="BF67" s="186"/>
      <c r="BG67" s="186"/>
      <c r="BH67" s="187"/>
      <c r="BI67" s="185"/>
      <c r="BJ67" s="186"/>
      <c r="BK67" s="186"/>
      <c r="BL67" s="186"/>
      <c r="BM67" s="186"/>
      <c r="BN67" s="187"/>
      <c r="BO67" s="185"/>
      <c r="BP67" s="186"/>
      <c r="BQ67" s="186"/>
      <c r="BR67" s="186"/>
      <c r="BS67" s="186"/>
      <c r="BT67" s="187"/>
      <c r="BU67" s="185"/>
      <c r="BV67" s="186"/>
      <c r="BW67" s="186"/>
      <c r="BX67" s="186"/>
      <c r="BY67" s="186"/>
      <c r="BZ67" s="187"/>
      <c r="CA67" s="185"/>
      <c r="CB67" s="186"/>
      <c r="CC67" s="186"/>
      <c r="CD67" s="186"/>
      <c r="CE67" s="186"/>
      <c r="CF67" s="187"/>
      <c r="CG67" s="185"/>
      <c r="CH67" s="186"/>
      <c r="CI67" s="186"/>
      <c r="CJ67" s="186"/>
      <c r="CK67" s="186"/>
      <c r="CL67" s="187"/>
      <c r="CM67" s="185"/>
      <c r="CN67" s="186"/>
      <c r="CO67" s="186"/>
      <c r="CP67" s="186"/>
      <c r="CQ67" s="186"/>
      <c r="CR67" s="187"/>
      <c r="CS67" s="185"/>
      <c r="CT67" s="186"/>
      <c r="CU67" s="186"/>
      <c r="CV67" s="186"/>
      <c r="CW67" s="186"/>
      <c r="CX67" s="187"/>
      <c r="CY67" s="51"/>
      <c r="CZ67" s="114"/>
      <c r="DA67" s="114"/>
      <c r="DB67" s="114"/>
      <c r="DC67" s="114"/>
      <c r="DD67" s="114"/>
      <c r="DE67" s="114"/>
      <c r="DF67" s="114"/>
    </row>
    <row r="68" spans="1:113" s="65" customFormat="1" ht="15.75" customHeight="1" x14ac:dyDescent="0.25">
      <c r="A68" s="51"/>
      <c r="B68" s="31">
        <v>13</v>
      </c>
      <c r="C68" s="30">
        <f t="shared" si="0"/>
        <v>0</v>
      </c>
      <c r="D68" s="39" t="str">
        <f t="shared" si="1"/>
        <v/>
      </c>
      <c r="E68" s="112" t="str">
        <f>IF('House of Quality 2'!$CG$74&lt;&gt;0, 'House of Quality 2'!$CG$74,"")</f>
        <v/>
      </c>
      <c r="F68" s="234" t="str">
        <f>IF('House of Quality 2'!$CG$49&lt;&gt;"", 'House of Quality 2'!$CG$49,"")</f>
        <v/>
      </c>
      <c r="G68" s="235"/>
      <c r="H68" s="235"/>
      <c r="I68" s="235"/>
      <c r="J68" s="235"/>
      <c r="K68" s="235"/>
      <c r="L68" s="236"/>
      <c r="M68" s="185"/>
      <c r="N68" s="186"/>
      <c r="O68" s="186"/>
      <c r="P68" s="186"/>
      <c r="Q68" s="186"/>
      <c r="R68" s="187"/>
      <c r="S68" s="185"/>
      <c r="T68" s="186"/>
      <c r="U68" s="186"/>
      <c r="V68" s="186"/>
      <c r="W68" s="186"/>
      <c r="X68" s="187"/>
      <c r="Y68" s="185"/>
      <c r="Z68" s="186"/>
      <c r="AA68" s="186"/>
      <c r="AB68" s="186"/>
      <c r="AC68" s="186"/>
      <c r="AD68" s="187"/>
      <c r="AE68" s="185"/>
      <c r="AF68" s="186"/>
      <c r="AG68" s="186"/>
      <c r="AH68" s="186"/>
      <c r="AI68" s="186"/>
      <c r="AJ68" s="187"/>
      <c r="AK68" s="185"/>
      <c r="AL68" s="186"/>
      <c r="AM68" s="186"/>
      <c r="AN68" s="186"/>
      <c r="AO68" s="186"/>
      <c r="AP68" s="187"/>
      <c r="AQ68" s="185"/>
      <c r="AR68" s="186"/>
      <c r="AS68" s="186"/>
      <c r="AT68" s="186"/>
      <c r="AU68" s="186"/>
      <c r="AV68" s="187"/>
      <c r="AW68" s="185"/>
      <c r="AX68" s="186"/>
      <c r="AY68" s="186"/>
      <c r="AZ68" s="186"/>
      <c r="BA68" s="186"/>
      <c r="BB68" s="187"/>
      <c r="BC68" s="185"/>
      <c r="BD68" s="186"/>
      <c r="BE68" s="186"/>
      <c r="BF68" s="186"/>
      <c r="BG68" s="186"/>
      <c r="BH68" s="187"/>
      <c r="BI68" s="185"/>
      <c r="BJ68" s="186"/>
      <c r="BK68" s="186"/>
      <c r="BL68" s="186"/>
      <c r="BM68" s="186"/>
      <c r="BN68" s="187"/>
      <c r="BO68" s="185"/>
      <c r="BP68" s="186"/>
      <c r="BQ68" s="186"/>
      <c r="BR68" s="186"/>
      <c r="BS68" s="186"/>
      <c r="BT68" s="187"/>
      <c r="BU68" s="185"/>
      <c r="BV68" s="186"/>
      <c r="BW68" s="186"/>
      <c r="BX68" s="186"/>
      <c r="BY68" s="186"/>
      <c r="BZ68" s="187"/>
      <c r="CA68" s="185"/>
      <c r="CB68" s="186"/>
      <c r="CC68" s="186"/>
      <c r="CD68" s="186"/>
      <c r="CE68" s="186"/>
      <c r="CF68" s="187"/>
      <c r="CG68" s="185"/>
      <c r="CH68" s="186"/>
      <c r="CI68" s="186"/>
      <c r="CJ68" s="186"/>
      <c r="CK68" s="186"/>
      <c r="CL68" s="187"/>
      <c r="CM68" s="185"/>
      <c r="CN68" s="186"/>
      <c r="CO68" s="186"/>
      <c r="CP68" s="186"/>
      <c r="CQ68" s="186"/>
      <c r="CR68" s="187"/>
      <c r="CS68" s="185"/>
      <c r="CT68" s="186"/>
      <c r="CU68" s="186"/>
      <c r="CV68" s="186"/>
      <c r="CW68" s="186"/>
      <c r="CX68" s="187"/>
      <c r="CY68" s="51"/>
      <c r="CZ68" s="114"/>
      <c r="DA68" s="114"/>
      <c r="DB68" s="114"/>
      <c r="DC68" s="114"/>
      <c r="DD68" s="114"/>
      <c r="DE68" s="114"/>
      <c r="DF68" s="114"/>
    </row>
    <row r="69" spans="1:113" s="65" customFormat="1" ht="15.75" customHeight="1" x14ac:dyDescent="0.25">
      <c r="A69" s="51"/>
      <c r="B69" s="31">
        <v>14</v>
      </c>
      <c r="C69" s="30">
        <f t="shared" si="0"/>
        <v>0</v>
      </c>
      <c r="D69" s="39" t="str">
        <f t="shared" si="1"/>
        <v/>
      </c>
      <c r="E69" s="112" t="str">
        <f>IF('House of Quality 2'!$CM$74&lt;&gt;0, 'House of Quality 2'!$CM$74,"")</f>
        <v/>
      </c>
      <c r="F69" s="234" t="str">
        <f>IF('House of Quality 2'!$CM$49&lt;&gt;"", 'House of Quality 2'!$CM$49,"")</f>
        <v/>
      </c>
      <c r="G69" s="235"/>
      <c r="H69" s="235"/>
      <c r="I69" s="235"/>
      <c r="J69" s="235"/>
      <c r="K69" s="235"/>
      <c r="L69" s="236"/>
      <c r="M69" s="185"/>
      <c r="N69" s="186"/>
      <c r="O69" s="186"/>
      <c r="P69" s="186"/>
      <c r="Q69" s="186"/>
      <c r="R69" s="187"/>
      <c r="S69" s="185"/>
      <c r="T69" s="186"/>
      <c r="U69" s="186"/>
      <c r="V69" s="186"/>
      <c r="W69" s="186"/>
      <c r="X69" s="187"/>
      <c r="Y69" s="185"/>
      <c r="Z69" s="186"/>
      <c r="AA69" s="186"/>
      <c r="AB69" s="186"/>
      <c r="AC69" s="186"/>
      <c r="AD69" s="187"/>
      <c r="AE69" s="185"/>
      <c r="AF69" s="186"/>
      <c r="AG69" s="186"/>
      <c r="AH69" s="186"/>
      <c r="AI69" s="186"/>
      <c r="AJ69" s="187"/>
      <c r="AK69" s="185"/>
      <c r="AL69" s="186"/>
      <c r="AM69" s="186"/>
      <c r="AN69" s="186"/>
      <c r="AO69" s="186"/>
      <c r="AP69" s="187"/>
      <c r="AQ69" s="185"/>
      <c r="AR69" s="186"/>
      <c r="AS69" s="186"/>
      <c r="AT69" s="186"/>
      <c r="AU69" s="186"/>
      <c r="AV69" s="187"/>
      <c r="AW69" s="185"/>
      <c r="AX69" s="186"/>
      <c r="AY69" s="186"/>
      <c r="AZ69" s="186"/>
      <c r="BA69" s="186"/>
      <c r="BB69" s="187"/>
      <c r="BC69" s="185"/>
      <c r="BD69" s="186"/>
      <c r="BE69" s="186"/>
      <c r="BF69" s="186"/>
      <c r="BG69" s="186"/>
      <c r="BH69" s="187"/>
      <c r="BI69" s="185"/>
      <c r="BJ69" s="186"/>
      <c r="BK69" s="186"/>
      <c r="BL69" s="186"/>
      <c r="BM69" s="186"/>
      <c r="BN69" s="187"/>
      <c r="BO69" s="185"/>
      <c r="BP69" s="186"/>
      <c r="BQ69" s="186"/>
      <c r="BR69" s="186"/>
      <c r="BS69" s="186"/>
      <c r="BT69" s="187"/>
      <c r="BU69" s="185"/>
      <c r="BV69" s="186"/>
      <c r="BW69" s="186"/>
      <c r="BX69" s="186"/>
      <c r="BY69" s="186"/>
      <c r="BZ69" s="187"/>
      <c r="CA69" s="185"/>
      <c r="CB69" s="186"/>
      <c r="CC69" s="186"/>
      <c r="CD69" s="186"/>
      <c r="CE69" s="186"/>
      <c r="CF69" s="187"/>
      <c r="CG69" s="185"/>
      <c r="CH69" s="186"/>
      <c r="CI69" s="186"/>
      <c r="CJ69" s="186"/>
      <c r="CK69" s="186"/>
      <c r="CL69" s="187"/>
      <c r="CM69" s="185"/>
      <c r="CN69" s="186"/>
      <c r="CO69" s="186"/>
      <c r="CP69" s="186"/>
      <c r="CQ69" s="186"/>
      <c r="CR69" s="187"/>
      <c r="CS69" s="185"/>
      <c r="CT69" s="186"/>
      <c r="CU69" s="186"/>
      <c r="CV69" s="186"/>
      <c r="CW69" s="186"/>
      <c r="CX69" s="187"/>
      <c r="CY69" s="51"/>
      <c r="CZ69" s="114"/>
      <c r="DA69" s="114"/>
      <c r="DB69" s="114"/>
      <c r="DC69" s="114"/>
      <c r="DD69" s="114"/>
      <c r="DE69" s="114"/>
      <c r="DF69" s="114"/>
    </row>
    <row r="70" spans="1:113" s="65" customFormat="1" ht="15.75" customHeight="1" x14ac:dyDescent="0.25">
      <c r="A70" s="51"/>
      <c r="B70" s="31">
        <v>15</v>
      </c>
      <c r="C70" s="30">
        <f t="shared" si="0"/>
        <v>0</v>
      </c>
      <c r="D70" s="39" t="str">
        <f t="shared" si="1"/>
        <v/>
      </c>
      <c r="E70" s="112" t="str">
        <f>IF('House of Quality 2'!$CS$74&lt;&gt;0, 'House of Quality 2'!$CS$74,"")</f>
        <v/>
      </c>
      <c r="F70" s="234" t="str">
        <f>IF('House of Quality 2'!$CS$49&lt;&gt;"", 'House of Quality 2'!$CS$49,"")</f>
        <v/>
      </c>
      <c r="G70" s="235"/>
      <c r="H70" s="235"/>
      <c r="I70" s="235"/>
      <c r="J70" s="235"/>
      <c r="K70" s="235"/>
      <c r="L70" s="236"/>
      <c r="M70" s="185"/>
      <c r="N70" s="186"/>
      <c r="O70" s="186"/>
      <c r="P70" s="186"/>
      <c r="Q70" s="186"/>
      <c r="R70" s="187"/>
      <c r="S70" s="185"/>
      <c r="T70" s="186"/>
      <c r="U70" s="186"/>
      <c r="V70" s="186"/>
      <c r="W70" s="186"/>
      <c r="X70" s="187"/>
      <c r="Y70" s="185"/>
      <c r="Z70" s="186"/>
      <c r="AA70" s="186"/>
      <c r="AB70" s="186"/>
      <c r="AC70" s="186"/>
      <c r="AD70" s="187"/>
      <c r="AE70" s="185"/>
      <c r="AF70" s="186"/>
      <c r="AG70" s="186"/>
      <c r="AH70" s="186"/>
      <c r="AI70" s="186"/>
      <c r="AJ70" s="187"/>
      <c r="AK70" s="185"/>
      <c r="AL70" s="186"/>
      <c r="AM70" s="186"/>
      <c r="AN70" s="186"/>
      <c r="AO70" s="186"/>
      <c r="AP70" s="187"/>
      <c r="AQ70" s="185"/>
      <c r="AR70" s="186"/>
      <c r="AS70" s="186"/>
      <c r="AT70" s="186"/>
      <c r="AU70" s="186"/>
      <c r="AV70" s="187"/>
      <c r="AW70" s="185"/>
      <c r="AX70" s="186"/>
      <c r="AY70" s="186"/>
      <c r="AZ70" s="186"/>
      <c r="BA70" s="186"/>
      <c r="BB70" s="187"/>
      <c r="BC70" s="185"/>
      <c r="BD70" s="186"/>
      <c r="BE70" s="186"/>
      <c r="BF70" s="186"/>
      <c r="BG70" s="186"/>
      <c r="BH70" s="187"/>
      <c r="BI70" s="185"/>
      <c r="BJ70" s="186"/>
      <c r="BK70" s="186"/>
      <c r="BL70" s="186"/>
      <c r="BM70" s="186"/>
      <c r="BN70" s="187"/>
      <c r="BO70" s="185"/>
      <c r="BP70" s="186"/>
      <c r="BQ70" s="186"/>
      <c r="BR70" s="186"/>
      <c r="BS70" s="186"/>
      <c r="BT70" s="187"/>
      <c r="BU70" s="185"/>
      <c r="BV70" s="186"/>
      <c r="BW70" s="186"/>
      <c r="BX70" s="186"/>
      <c r="BY70" s="186"/>
      <c r="BZ70" s="187"/>
      <c r="CA70" s="185"/>
      <c r="CB70" s="186"/>
      <c r="CC70" s="186"/>
      <c r="CD70" s="186"/>
      <c r="CE70" s="186"/>
      <c r="CF70" s="187"/>
      <c r="CG70" s="185"/>
      <c r="CH70" s="186"/>
      <c r="CI70" s="186"/>
      <c r="CJ70" s="186"/>
      <c r="CK70" s="186"/>
      <c r="CL70" s="187"/>
      <c r="CM70" s="185"/>
      <c r="CN70" s="186"/>
      <c r="CO70" s="186"/>
      <c r="CP70" s="186"/>
      <c r="CQ70" s="186"/>
      <c r="CR70" s="187"/>
      <c r="CS70" s="185"/>
      <c r="CT70" s="186"/>
      <c r="CU70" s="186"/>
      <c r="CV70" s="186"/>
      <c r="CW70" s="186"/>
      <c r="CX70" s="187"/>
      <c r="CY70" s="51"/>
      <c r="CZ70" s="114"/>
      <c r="DA70" s="114"/>
      <c r="DB70" s="114"/>
      <c r="DC70" s="114"/>
      <c r="DD70" s="114"/>
      <c r="DE70" s="114"/>
      <c r="DF70" s="114"/>
    </row>
    <row r="71" spans="1:113" s="65" customFormat="1" ht="84.75" customHeight="1" x14ac:dyDescent="0.25">
      <c r="A71" s="51"/>
      <c r="B71" s="51"/>
      <c r="C71" s="51"/>
      <c r="D71" s="52"/>
      <c r="E71" s="111"/>
      <c r="F71" s="221" t="s">
        <v>9</v>
      </c>
      <c r="G71" s="233"/>
      <c r="H71" s="233"/>
      <c r="I71" s="233"/>
      <c r="J71" s="233"/>
      <c r="K71" s="233"/>
      <c r="L71" s="222"/>
      <c r="M71" s="159"/>
      <c r="N71" s="160"/>
      <c r="O71" s="160"/>
      <c r="P71" s="160"/>
      <c r="Q71" s="160"/>
      <c r="R71" s="161"/>
      <c r="S71" s="159"/>
      <c r="T71" s="160"/>
      <c r="U71" s="160"/>
      <c r="V71" s="160"/>
      <c r="W71" s="160"/>
      <c r="X71" s="161"/>
      <c r="Y71" s="159"/>
      <c r="Z71" s="160"/>
      <c r="AA71" s="160"/>
      <c r="AB71" s="160"/>
      <c r="AC71" s="160"/>
      <c r="AD71" s="161"/>
      <c r="AE71" s="159"/>
      <c r="AF71" s="160"/>
      <c r="AG71" s="160"/>
      <c r="AH71" s="160"/>
      <c r="AI71" s="160"/>
      <c r="AJ71" s="161"/>
      <c r="AK71" s="159"/>
      <c r="AL71" s="160"/>
      <c r="AM71" s="160"/>
      <c r="AN71" s="160"/>
      <c r="AO71" s="160"/>
      <c r="AP71" s="161"/>
      <c r="AQ71" s="159"/>
      <c r="AR71" s="160"/>
      <c r="AS71" s="160"/>
      <c r="AT71" s="160"/>
      <c r="AU71" s="160"/>
      <c r="AV71" s="161"/>
      <c r="AW71" s="159"/>
      <c r="AX71" s="160"/>
      <c r="AY71" s="160"/>
      <c r="AZ71" s="160"/>
      <c r="BA71" s="160"/>
      <c r="BB71" s="161"/>
      <c r="BC71" s="159"/>
      <c r="BD71" s="160"/>
      <c r="BE71" s="160"/>
      <c r="BF71" s="160"/>
      <c r="BG71" s="160"/>
      <c r="BH71" s="161"/>
      <c r="BI71" s="159"/>
      <c r="BJ71" s="160"/>
      <c r="BK71" s="160"/>
      <c r="BL71" s="160"/>
      <c r="BM71" s="160"/>
      <c r="BN71" s="161"/>
      <c r="BO71" s="159"/>
      <c r="BP71" s="160"/>
      <c r="BQ71" s="160"/>
      <c r="BR71" s="160"/>
      <c r="BS71" s="160"/>
      <c r="BT71" s="161"/>
      <c r="BU71" s="159"/>
      <c r="BV71" s="160"/>
      <c r="BW71" s="160"/>
      <c r="BX71" s="160"/>
      <c r="BY71" s="160"/>
      <c r="BZ71" s="161"/>
      <c r="CA71" s="159"/>
      <c r="CB71" s="160"/>
      <c r="CC71" s="160"/>
      <c r="CD71" s="160"/>
      <c r="CE71" s="160"/>
      <c r="CF71" s="161"/>
      <c r="CG71" s="159"/>
      <c r="CH71" s="160"/>
      <c r="CI71" s="160"/>
      <c r="CJ71" s="160"/>
      <c r="CK71" s="160"/>
      <c r="CL71" s="161"/>
      <c r="CM71" s="159"/>
      <c r="CN71" s="160"/>
      <c r="CO71" s="160"/>
      <c r="CP71" s="160"/>
      <c r="CQ71" s="160"/>
      <c r="CR71" s="161"/>
      <c r="CS71" s="214"/>
      <c r="CT71" s="214"/>
      <c r="CU71" s="214"/>
      <c r="CV71" s="214"/>
      <c r="CW71" s="214"/>
      <c r="CX71" s="214"/>
      <c r="CY71" s="51"/>
      <c r="CZ71" s="114"/>
      <c r="DA71" s="114"/>
      <c r="DB71" s="114"/>
      <c r="DC71" s="114"/>
      <c r="DD71" s="114"/>
      <c r="DE71" s="114"/>
      <c r="DF71" s="114"/>
    </row>
    <row r="72" spans="1:113" s="65" customFormat="1" ht="22.5" customHeight="1" x14ac:dyDescent="0.25">
      <c r="A72" s="51"/>
      <c r="B72" s="51"/>
      <c r="C72" s="51"/>
      <c r="D72" s="52"/>
      <c r="E72" s="111"/>
      <c r="F72" s="170" t="s">
        <v>36</v>
      </c>
      <c r="G72" s="232"/>
      <c r="H72" s="232"/>
      <c r="I72" s="232"/>
      <c r="J72" s="232"/>
      <c r="K72" s="232"/>
      <c r="L72" s="220"/>
      <c r="M72" s="173"/>
      <c r="N72" s="174"/>
      <c r="O72" s="174"/>
      <c r="P72" s="174"/>
      <c r="Q72" s="174"/>
      <c r="R72" s="175"/>
      <c r="S72" s="173"/>
      <c r="T72" s="174"/>
      <c r="U72" s="174"/>
      <c r="V72" s="174"/>
      <c r="W72" s="174"/>
      <c r="X72" s="175"/>
      <c r="Y72" s="173"/>
      <c r="Z72" s="174"/>
      <c r="AA72" s="174"/>
      <c r="AB72" s="174"/>
      <c r="AC72" s="174"/>
      <c r="AD72" s="175"/>
      <c r="AE72" s="173"/>
      <c r="AF72" s="174"/>
      <c r="AG72" s="174"/>
      <c r="AH72" s="174"/>
      <c r="AI72" s="174"/>
      <c r="AJ72" s="175"/>
      <c r="AK72" s="173"/>
      <c r="AL72" s="174"/>
      <c r="AM72" s="174"/>
      <c r="AN72" s="174"/>
      <c r="AO72" s="174"/>
      <c r="AP72" s="175"/>
      <c r="AQ72" s="173"/>
      <c r="AR72" s="174"/>
      <c r="AS72" s="174"/>
      <c r="AT72" s="174"/>
      <c r="AU72" s="174"/>
      <c r="AV72" s="175"/>
      <c r="AW72" s="173"/>
      <c r="AX72" s="174"/>
      <c r="AY72" s="174"/>
      <c r="AZ72" s="174"/>
      <c r="BA72" s="174"/>
      <c r="BB72" s="175"/>
      <c r="BC72" s="173"/>
      <c r="BD72" s="174"/>
      <c r="BE72" s="174"/>
      <c r="BF72" s="174"/>
      <c r="BG72" s="174"/>
      <c r="BH72" s="175"/>
      <c r="BI72" s="173"/>
      <c r="BJ72" s="174"/>
      <c r="BK72" s="174"/>
      <c r="BL72" s="174"/>
      <c r="BM72" s="174"/>
      <c r="BN72" s="175"/>
      <c r="BO72" s="173"/>
      <c r="BP72" s="174"/>
      <c r="BQ72" s="174"/>
      <c r="BR72" s="174"/>
      <c r="BS72" s="174"/>
      <c r="BT72" s="175"/>
      <c r="BU72" s="173"/>
      <c r="BV72" s="174"/>
      <c r="BW72" s="174"/>
      <c r="BX72" s="174"/>
      <c r="BY72" s="174"/>
      <c r="BZ72" s="175"/>
      <c r="CA72" s="173"/>
      <c r="CB72" s="174"/>
      <c r="CC72" s="174"/>
      <c r="CD72" s="174"/>
      <c r="CE72" s="174"/>
      <c r="CF72" s="175"/>
      <c r="CG72" s="173"/>
      <c r="CH72" s="174"/>
      <c r="CI72" s="174"/>
      <c r="CJ72" s="174"/>
      <c r="CK72" s="174"/>
      <c r="CL72" s="175"/>
      <c r="CM72" s="173"/>
      <c r="CN72" s="174"/>
      <c r="CO72" s="174"/>
      <c r="CP72" s="174"/>
      <c r="CQ72" s="174"/>
      <c r="CR72" s="175"/>
      <c r="CS72" s="213"/>
      <c r="CT72" s="213"/>
      <c r="CU72" s="213"/>
      <c r="CV72" s="213"/>
      <c r="CW72" s="213"/>
      <c r="CX72" s="213"/>
      <c r="CY72" s="51"/>
      <c r="CZ72" s="51"/>
      <c r="DA72" s="51"/>
      <c r="DB72" s="51"/>
      <c r="DC72" s="51"/>
      <c r="DD72" s="51"/>
      <c r="DE72" s="51"/>
      <c r="DF72" s="51"/>
    </row>
    <row r="73" spans="1:113" s="65" customFormat="1" ht="14.25" customHeight="1" x14ac:dyDescent="0.25">
      <c r="A73" s="51"/>
      <c r="B73" s="51"/>
      <c r="C73" s="51"/>
      <c r="D73" s="52"/>
      <c r="E73" s="111"/>
      <c r="F73" s="170" t="s">
        <v>3</v>
      </c>
      <c r="G73" s="232"/>
      <c r="H73" s="232"/>
      <c r="I73" s="232"/>
      <c r="J73" s="232"/>
      <c r="K73" s="232"/>
      <c r="L73" s="220"/>
      <c r="M73" s="182">
        <f>MAX(M79:R93)</f>
        <v>0</v>
      </c>
      <c r="N73" s="183"/>
      <c r="O73" s="183"/>
      <c r="P73" s="183"/>
      <c r="Q73" s="183"/>
      <c r="R73" s="184"/>
      <c r="S73" s="182">
        <f>MAX(S79:X93)</f>
        <v>0</v>
      </c>
      <c r="T73" s="183"/>
      <c r="U73" s="183"/>
      <c r="V73" s="183"/>
      <c r="W73" s="183"/>
      <c r="X73" s="184"/>
      <c r="Y73" s="182">
        <f>MAX(Y79:AD93)</f>
        <v>0</v>
      </c>
      <c r="Z73" s="183"/>
      <c r="AA73" s="183"/>
      <c r="AB73" s="183"/>
      <c r="AC73" s="183"/>
      <c r="AD73" s="184"/>
      <c r="AE73" s="182">
        <f>MAX(AE79:AJ93)</f>
        <v>0</v>
      </c>
      <c r="AF73" s="183"/>
      <c r="AG73" s="183"/>
      <c r="AH73" s="183"/>
      <c r="AI73" s="183"/>
      <c r="AJ73" s="184"/>
      <c r="AK73" s="182">
        <f>MAX(AK79:AP93)</f>
        <v>0</v>
      </c>
      <c r="AL73" s="183"/>
      <c r="AM73" s="183"/>
      <c r="AN73" s="183"/>
      <c r="AO73" s="183"/>
      <c r="AP73" s="184"/>
      <c r="AQ73" s="182">
        <f>MAX(AQ79:AV93)</f>
        <v>0</v>
      </c>
      <c r="AR73" s="183"/>
      <c r="AS73" s="183"/>
      <c r="AT73" s="183"/>
      <c r="AU73" s="183"/>
      <c r="AV73" s="184"/>
      <c r="AW73" s="182">
        <f>MAX(AW79:BB93)</f>
        <v>0</v>
      </c>
      <c r="AX73" s="183"/>
      <c r="AY73" s="183"/>
      <c r="AZ73" s="183"/>
      <c r="BA73" s="183"/>
      <c r="BB73" s="184"/>
      <c r="BC73" s="182">
        <f>MAX(BC79:BH93)</f>
        <v>0</v>
      </c>
      <c r="BD73" s="183"/>
      <c r="BE73" s="183"/>
      <c r="BF73" s="183"/>
      <c r="BG73" s="183"/>
      <c r="BH73" s="184"/>
      <c r="BI73" s="182">
        <f>MAX(BI79:BN93)</f>
        <v>0</v>
      </c>
      <c r="BJ73" s="183"/>
      <c r="BK73" s="183"/>
      <c r="BL73" s="183"/>
      <c r="BM73" s="183"/>
      <c r="BN73" s="184"/>
      <c r="BO73" s="182">
        <f>MAX(BO79:BT93)</f>
        <v>0</v>
      </c>
      <c r="BP73" s="183"/>
      <c r="BQ73" s="183"/>
      <c r="BR73" s="183"/>
      <c r="BS73" s="183"/>
      <c r="BT73" s="184"/>
      <c r="BU73" s="182">
        <f>MAX(BU79:BZ93)</f>
        <v>0</v>
      </c>
      <c r="BV73" s="183"/>
      <c r="BW73" s="183"/>
      <c r="BX73" s="183"/>
      <c r="BY73" s="183"/>
      <c r="BZ73" s="184"/>
      <c r="CA73" s="182">
        <f>MAX(CA79:CF93)</f>
        <v>0</v>
      </c>
      <c r="CB73" s="183"/>
      <c r="CC73" s="183"/>
      <c r="CD73" s="183"/>
      <c r="CE73" s="183"/>
      <c r="CF73" s="184"/>
      <c r="CG73" s="182">
        <f>MAX(CG79:CL93)</f>
        <v>0</v>
      </c>
      <c r="CH73" s="183"/>
      <c r="CI73" s="183"/>
      <c r="CJ73" s="183"/>
      <c r="CK73" s="183"/>
      <c r="CL73" s="184"/>
      <c r="CM73" s="182">
        <f>MAX(CM79:CR93)</f>
        <v>0</v>
      </c>
      <c r="CN73" s="183"/>
      <c r="CO73" s="183"/>
      <c r="CP73" s="183"/>
      <c r="CQ73" s="183"/>
      <c r="CR73" s="184"/>
      <c r="CS73" s="182">
        <f>MAX(CS79:CX93)</f>
        <v>0</v>
      </c>
      <c r="CT73" s="183"/>
      <c r="CU73" s="183"/>
      <c r="CV73" s="183"/>
      <c r="CW73" s="183"/>
      <c r="CX73" s="184"/>
      <c r="CY73" s="51"/>
      <c r="CZ73" s="51"/>
      <c r="DA73" s="51"/>
      <c r="DB73" s="51"/>
      <c r="DC73" s="51"/>
      <c r="DD73" s="51"/>
      <c r="DE73" s="51"/>
      <c r="DF73" s="51"/>
    </row>
    <row r="74" spans="1:113" s="65" customFormat="1" ht="14.25" customHeight="1" x14ac:dyDescent="0.2">
      <c r="A74" s="51"/>
      <c r="B74" s="51"/>
      <c r="C74" s="51"/>
      <c r="D74" s="52"/>
      <c r="E74" s="111"/>
      <c r="F74" s="170" t="s">
        <v>29</v>
      </c>
      <c r="G74" s="232"/>
      <c r="H74" s="232"/>
      <c r="I74" s="232"/>
      <c r="J74" s="232"/>
      <c r="K74" s="232"/>
      <c r="L74" s="220"/>
      <c r="M74" s="179">
        <f>SUM($D79*M79,$D80*M80,$D81*M81,$D82*M82,$D83*M83,$D84*M84,$D85*M85,$D86*M86,$D87*M87,$D88*M88,$D89*M89,$D90*M90,$D91*M91,$D92*M92,$D93*M93)</f>
        <v>0</v>
      </c>
      <c r="N74" s="180"/>
      <c r="O74" s="180"/>
      <c r="P74" s="180"/>
      <c r="Q74" s="180"/>
      <c r="R74" s="181"/>
      <c r="S74" s="179">
        <f>SUM($D79*S79,$D80*S80,$D81*S81,$D82*S82,$D83*S83,$D84*S84,$D85*S85,$D86*S86,$D87*S87,$D88*S88,$D89*S89,$D90*S90,$D91*S91,$D92*S92,$D93*S93)</f>
        <v>0</v>
      </c>
      <c r="T74" s="180"/>
      <c r="U74" s="180"/>
      <c r="V74" s="180"/>
      <c r="W74" s="180"/>
      <c r="X74" s="181"/>
      <c r="Y74" s="179">
        <f>SUM($D79*Y79,$D80*Y80,$D81*Y81,$D82*Y82,$D83*Y83,$D84*Y84,$D85*Y85,$D86*Y86,$D87*Y87,$D88*Y88,$D89*Y89,$D90*Y90,$D91*Y91,$D92*Y92,$D93*Y93)</f>
        <v>0</v>
      </c>
      <c r="Z74" s="180"/>
      <c r="AA74" s="180"/>
      <c r="AB74" s="180"/>
      <c r="AC74" s="180"/>
      <c r="AD74" s="181"/>
      <c r="AE74" s="179">
        <f>SUM($D79*AE79,$D80*AE80,$D81*AE81,$D82*AE82,$D83*AE83,$D84*AE84,$D85*AE85,$D86*AE86,$D87*AE87,$D88*AE88,$D89*AE89,$D90*AE90,$D91*AE91,$D92*AE92,$D93*AE93)</f>
        <v>0</v>
      </c>
      <c r="AF74" s="180"/>
      <c r="AG74" s="180"/>
      <c r="AH74" s="180"/>
      <c r="AI74" s="180"/>
      <c r="AJ74" s="181"/>
      <c r="AK74" s="179">
        <f>SUM($D79*AK79,$D80*AK80,$D81*AK81,$D82*AK82,$D83*AK83,$D84*AK84,$D85*AK85,$D86*AK86,$D87*AK87,$D88*AK88,$D89*AK89,$D90*AK90,$D91*AK91,$D92*AK92,$D93*AK93)</f>
        <v>0</v>
      </c>
      <c r="AL74" s="180"/>
      <c r="AM74" s="180"/>
      <c r="AN74" s="180"/>
      <c r="AO74" s="180"/>
      <c r="AP74" s="181"/>
      <c r="AQ74" s="179">
        <f>SUM($D79*AQ79,$D80*AQ80,$D81*AQ81,$D82*AQ82,$D83*AQ83,$D84*AQ84,$D85*AQ85,$D86*AQ86,$D87*AQ87,$D88*AQ88,$D89*AQ89,$D90*AQ90,$D91*AQ91,$D92*AQ92,$D93*AQ93)</f>
        <v>0</v>
      </c>
      <c r="AR74" s="180"/>
      <c r="AS74" s="180"/>
      <c r="AT74" s="180"/>
      <c r="AU74" s="180"/>
      <c r="AV74" s="181"/>
      <c r="AW74" s="179">
        <f>SUM($D79*AW79,$D80*AW80,$D81*AW81,$D82*AW82,$D83*AW83,$D84*AW84,$D85*AW85,$D86*AW86,$D87*AW87,$D88*AW88,$D89*AW89,$D90*AW90,$D91*AW91,$D92*AW92,$D93*AW93)</f>
        <v>0</v>
      </c>
      <c r="AX74" s="180"/>
      <c r="AY74" s="180"/>
      <c r="AZ74" s="180"/>
      <c r="BA74" s="180"/>
      <c r="BB74" s="181"/>
      <c r="BC74" s="179">
        <f>SUM($D79*BC79,$D80*BC80,$D81*BC81,$D82*BC82,$D83*BC83,$D84*BC84,$D85*BC85,$D86*BC86,$D87*BC87,$D88*BC88,$D89*BC89,$D90*BC90,$D91*BC91,$D92*BC92,$D93*BC93)</f>
        <v>0</v>
      </c>
      <c r="BD74" s="180"/>
      <c r="BE74" s="180"/>
      <c r="BF74" s="180"/>
      <c r="BG74" s="180"/>
      <c r="BH74" s="181"/>
      <c r="BI74" s="179">
        <f>SUM($D79*BI79,$D80*BI80,$D81*BI81,$D82*BI82,$D83*BI83,$D84*BI84,$D85*BI85,$D86*BI86,$D87*BI87,$D88*BI88,$D89*BI89,$D90*BI90,$D91*BI91,$D92*BI92,$D93*BI93)</f>
        <v>0</v>
      </c>
      <c r="BJ74" s="180"/>
      <c r="BK74" s="180"/>
      <c r="BL74" s="180"/>
      <c r="BM74" s="180"/>
      <c r="BN74" s="181"/>
      <c r="BO74" s="179">
        <f>SUM($D79*BO79,$D80*BO80,$D81*BO81,$D82*BO82,$D83*BO83,$D84*BO84,$D85*BO85,$D86*BO86,$D87*BO87,$D88*BO88,$D89*BO89,$D90*BO90,$D91*BO91,$D92*BO92,$D93*BO93)</f>
        <v>0</v>
      </c>
      <c r="BP74" s="180"/>
      <c r="BQ74" s="180"/>
      <c r="BR74" s="180"/>
      <c r="BS74" s="180"/>
      <c r="BT74" s="181"/>
      <c r="BU74" s="179">
        <f>SUM($D79*BU79,$D80*BU80,$D81*BU81,$D82*BU82,$D83*BU83,$D84*BU84,$D85*BU85,$D86*BU86,$D87*BU87,$D88*BU88,$D89*BU89,$D90*BU90,$D91*BU91,$D92*BU92,$D93*BU93)</f>
        <v>0</v>
      </c>
      <c r="BV74" s="180"/>
      <c r="BW74" s="180"/>
      <c r="BX74" s="180"/>
      <c r="BY74" s="180"/>
      <c r="BZ74" s="181"/>
      <c r="CA74" s="179">
        <f>SUM($D79*CA79,$D80*CA80,$D81*CA81,$D82*CA82,$D83*CA83,$D84*CA84,$D85*CA85,$D86*CA86,$D87*CA87,$D88*CA88,$D89*CA89,$D90*CA90,$D91*CA91,$D92*CA92,$D93*CA93)</f>
        <v>0</v>
      </c>
      <c r="CB74" s="180"/>
      <c r="CC74" s="180"/>
      <c r="CD74" s="180"/>
      <c r="CE74" s="180"/>
      <c r="CF74" s="181"/>
      <c r="CG74" s="179">
        <f>SUM($D79*CG79,$D80*CG80,$D81*CG81,$D82*CG82,$D83*CG83,$D84*CG84,$D85*CG85,$D86*CG86,$D87*CG87,$D88*CG88,$D89*CG89,$D90*CG90,$D91*CG91,$D92*CG92,$D93*CG93)</f>
        <v>0</v>
      </c>
      <c r="CH74" s="180"/>
      <c r="CI74" s="180"/>
      <c r="CJ74" s="180"/>
      <c r="CK74" s="180"/>
      <c r="CL74" s="181"/>
      <c r="CM74" s="179">
        <f>SUM($D79*CM79,$D80*CM80,$D81*CM81,$D82*CM82,$D83*CM83,$D84*CM84,$D85*CM85,$D86*CM86,$D87*CM87,$D88*CM88,$D89*CM89,$D90*CM90,$D91*CM91,$D92*CM92,$D93*CM93)</f>
        <v>0</v>
      </c>
      <c r="CN74" s="180"/>
      <c r="CO74" s="180"/>
      <c r="CP74" s="180"/>
      <c r="CQ74" s="180"/>
      <c r="CR74" s="181"/>
      <c r="CS74" s="179">
        <f>SUM($D79*CS79,$D80*CS80,$D81*CS81,$D82*CS82,$D83*CS83,$D84*CS84,$D85*CS85,$D86*CS86,$D87*CS87,$D88*CS88,$D89*CS89,$D90*CS90,$D91*CS91,$D92*CS92,$D93*CS93)</f>
        <v>0</v>
      </c>
      <c r="CT74" s="180"/>
      <c r="CU74" s="180"/>
      <c r="CV74" s="180"/>
      <c r="CW74" s="180"/>
      <c r="CX74" s="181"/>
      <c r="CY74" s="17"/>
      <c r="CZ74" s="17"/>
      <c r="DA74" s="17"/>
      <c r="DB74" s="17"/>
      <c r="DC74" s="17"/>
      <c r="DD74" s="17"/>
      <c r="DE74" s="17"/>
      <c r="DF74" s="17"/>
    </row>
    <row r="75" spans="1:113" s="65" customFormat="1" ht="14.25" customHeight="1" x14ac:dyDescent="0.25">
      <c r="A75" s="114"/>
      <c r="B75" s="114"/>
      <c r="C75" s="114"/>
      <c r="D75" s="114"/>
      <c r="E75" s="114"/>
      <c r="F75" s="170" t="s">
        <v>1</v>
      </c>
      <c r="G75" s="232"/>
      <c r="H75" s="232"/>
      <c r="I75" s="232"/>
      <c r="J75" s="232"/>
      <c r="K75" s="232"/>
      <c r="L75" s="220"/>
      <c r="M75" s="176" t="str">
        <f>IF(M$74&gt;0,(M$74/SUM($74:$74))*100, "")</f>
        <v/>
      </c>
      <c r="N75" s="177"/>
      <c r="O75" s="177"/>
      <c r="P75" s="177"/>
      <c r="Q75" s="177"/>
      <c r="R75" s="178"/>
      <c r="S75" s="176" t="str">
        <f>IF(S$74&gt;0,(S$74/SUM($74:$74))*100, "")</f>
        <v/>
      </c>
      <c r="T75" s="177"/>
      <c r="U75" s="177"/>
      <c r="V75" s="177"/>
      <c r="W75" s="177"/>
      <c r="X75" s="178"/>
      <c r="Y75" s="176" t="str">
        <f>IF(Y$74&gt;0,(Y$74/SUM($74:$74))*100, "")</f>
        <v/>
      </c>
      <c r="Z75" s="177"/>
      <c r="AA75" s="177"/>
      <c r="AB75" s="177"/>
      <c r="AC75" s="177"/>
      <c r="AD75" s="178"/>
      <c r="AE75" s="176" t="str">
        <f>IF(AE$74&gt;0,(AE$74/SUM($74:$74))*100, "")</f>
        <v/>
      </c>
      <c r="AF75" s="177"/>
      <c r="AG75" s="177"/>
      <c r="AH75" s="177"/>
      <c r="AI75" s="177"/>
      <c r="AJ75" s="178"/>
      <c r="AK75" s="176" t="str">
        <f>IF(AK$74&gt;0,(AK$74/SUM($74:$74))*100, "")</f>
        <v/>
      </c>
      <c r="AL75" s="177"/>
      <c r="AM75" s="177"/>
      <c r="AN75" s="177"/>
      <c r="AO75" s="177"/>
      <c r="AP75" s="178"/>
      <c r="AQ75" s="176" t="str">
        <f>IF(AQ$74&gt;0,(AQ$74/SUM($74:$74))*100, "")</f>
        <v/>
      </c>
      <c r="AR75" s="177"/>
      <c r="AS75" s="177"/>
      <c r="AT75" s="177"/>
      <c r="AU75" s="177"/>
      <c r="AV75" s="178"/>
      <c r="AW75" s="176" t="str">
        <f>IF(AW$74&gt;0,(AW$74/SUM($74:$74))*100, "")</f>
        <v/>
      </c>
      <c r="AX75" s="177"/>
      <c r="AY75" s="177"/>
      <c r="AZ75" s="177"/>
      <c r="BA75" s="177"/>
      <c r="BB75" s="178"/>
      <c r="BC75" s="176" t="str">
        <f>IF(BC$74&gt;0,(BC$74/SUM($74:$74))*100, "")</f>
        <v/>
      </c>
      <c r="BD75" s="177"/>
      <c r="BE75" s="177"/>
      <c r="BF75" s="177"/>
      <c r="BG75" s="177"/>
      <c r="BH75" s="178"/>
      <c r="BI75" s="176" t="str">
        <f>IF(BI$74&gt;0,(BI$74/SUM($74:$74))*100, "")</f>
        <v/>
      </c>
      <c r="BJ75" s="177"/>
      <c r="BK75" s="177"/>
      <c r="BL75" s="177"/>
      <c r="BM75" s="177"/>
      <c r="BN75" s="178"/>
      <c r="BO75" s="176" t="str">
        <f>IF(BO$74&gt;0,(BO$74/SUM($74:$74))*100, "")</f>
        <v/>
      </c>
      <c r="BP75" s="177"/>
      <c r="BQ75" s="177"/>
      <c r="BR75" s="177"/>
      <c r="BS75" s="177"/>
      <c r="BT75" s="178"/>
      <c r="BU75" s="176" t="str">
        <f>IF(BU$74&gt;0,(BU$74/SUM($74:$74))*100, "")</f>
        <v/>
      </c>
      <c r="BV75" s="177"/>
      <c r="BW75" s="177"/>
      <c r="BX75" s="177"/>
      <c r="BY75" s="177"/>
      <c r="BZ75" s="178"/>
      <c r="CA75" s="176" t="str">
        <f>IF(CA$74&gt;0,(CA$74/SUM($74:$74))*100, "")</f>
        <v/>
      </c>
      <c r="CB75" s="177"/>
      <c r="CC75" s="177"/>
      <c r="CD75" s="177"/>
      <c r="CE75" s="177"/>
      <c r="CF75" s="178"/>
      <c r="CG75" s="176" t="str">
        <f>IF(CG$74&gt;0,(CG$74/SUM($74:$74))*100, "")</f>
        <v/>
      </c>
      <c r="CH75" s="177"/>
      <c r="CI75" s="177"/>
      <c r="CJ75" s="177"/>
      <c r="CK75" s="177"/>
      <c r="CL75" s="178"/>
      <c r="CM75" s="176" t="str">
        <f>IF(CM$74&gt;0,(CM$74/SUM($74:$74))*100, "")</f>
        <v/>
      </c>
      <c r="CN75" s="177"/>
      <c r="CO75" s="177"/>
      <c r="CP75" s="177"/>
      <c r="CQ75" s="177"/>
      <c r="CR75" s="178"/>
      <c r="CS75" s="176" t="str">
        <f>IF(CS$74&gt;0,(CS$74/SUM($74:$74))*100, "")</f>
        <v/>
      </c>
      <c r="CT75" s="177"/>
      <c r="CU75" s="177"/>
      <c r="CV75" s="177"/>
      <c r="CW75" s="177"/>
      <c r="CX75" s="178"/>
      <c r="CY75" s="225" t="s">
        <v>48</v>
      </c>
      <c r="CZ75" s="226"/>
      <c r="DA75" s="226"/>
      <c r="DB75" s="226"/>
      <c r="DC75" s="226"/>
      <c r="DD75" s="226"/>
      <c r="DE75" s="226"/>
      <c r="DF75" s="126"/>
      <c r="DG75" s="127"/>
      <c r="DH75" s="127"/>
      <c r="DI75" s="127"/>
    </row>
    <row r="76" spans="1:113" ht="23.25" customHeight="1" x14ac:dyDescent="0.2">
      <c r="A76" s="17"/>
      <c r="B76" s="47"/>
      <c r="C76" s="47"/>
      <c r="D76" s="48"/>
      <c r="E76" s="48"/>
      <c r="F76" s="215"/>
      <c r="G76" s="215"/>
      <c r="H76" s="215"/>
      <c r="I76" s="215"/>
      <c r="J76" s="215"/>
      <c r="K76" s="215"/>
      <c r="L76" s="215"/>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17"/>
      <c r="CZ76" s="17"/>
      <c r="DA76" s="17"/>
      <c r="DB76" s="17"/>
      <c r="DC76" s="17"/>
      <c r="DD76" s="17"/>
      <c r="DE76" s="17"/>
      <c r="DF76" s="17"/>
    </row>
    <row r="77" spans="1:113" ht="23.25" customHeight="1" x14ac:dyDescent="0.2">
      <c r="B77" s="29"/>
      <c r="C77" s="29"/>
      <c r="D77" s="40"/>
      <c r="E77" s="40"/>
      <c r="F77" s="188"/>
      <c r="G77" s="188"/>
      <c r="H77" s="188"/>
      <c r="I77" s="188"/>
      <c r="J77" s="188"/>
      <c r="K77" s="188"/>
      <c r="L77" s="188"/>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70"/>
      <c r="CZ77" s="46"/>
      <c r="DA77" s="46"/>
      <c r="DB77" s="46"/>
      <c r="DC77" s="46"/>
      <c r="DD77" s="46"/>
      <c r="DE77" s="46"/>
      <c r="DF77" s="46"/>
    </row>
    <row r="78" spans="1:113" ht="23.25" hidden="1" customHeight="1" x14ac:dyDescent="0.2">
      <c r="B78" s="29"/>
      <c r="C78" s="29"/>
      <c r="D78" s="165" t="s">
        <v>50</v>
      </c>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c r="BI78" s="166"/>
      <c r="BJ78" s="166"/>
      <c r="BK78" s="166"/>
      <c r="BL78" s="166"/>
      <c r="BM78" s="166"/>
      <c r="BN78" s="166"/>
      <c r="BO78" s="166"/>
      <c r="BP78" s="166"/>
      <c r="BQ78" s="166"/>
      <c r="BR78" s="166"/>
      <c r="BS78" s="166"/>
      <c r="BT78" s="166"/>
      <c r="BU78" s="166"/>
      <c r="BV78" s="166"/>
      <c r="BW78" s="166"/>
      <c r="BX78" s="166"/>
      <c r="BY78" s="166"/>
      <c r="BZ78" s="166"/>
      <c r="CA78" s="166"/>
      <c r="CB78" s="166"/>
      <c r="CC78" s="166"/>
      <c r="CD78" s="166"/>
      <c r="CE78" s="166"/>
      <c r="CF78" s="166"/>
      <c r="CG78" s="166"/>
      <c r="CH78" s="166"/>
      <c r="CI78" s="166"/>
      <c r="CJ78" s="166"/>
      <c r="CK78" s="166"/>
      <c r="CL78" s="166"/>
      <c r="CM78" s="166"/>
      <c r="CN78" s="166"/>
      <c r="CO78" s="166"/>
      <c r="CP78" s="166"/>
      <c r="CQ78" s="166"/>
      <c r="CR78" s="166"/>
      <c r="CS78" s="166"/>
      <c r="CT78" s="166"/>
      <c r="CU78" s="166"/>
      <c r="CV78" s="166"/>
      <c r="CW78" s="166"/>
      <c r="CX78" s="167"/>
      <c r="CY78" s="70"/>
      <c r="CZ78" s="46"/>
      <c r="DA78" s="46"/>
      <c r="DB78" s="46"/>
      <c r="DC78" s="46"/>
      <c r="DD78" s="46"/>
      <c r="DE78" s="46"/>
      <c r="DF78" s="46"/>
    </row>
    <row r="79" spans="1:113" s="46" customFormat="1" ht="23.25" hidden="1" customHeight="1" x14ac:dyDescent="0.25">
      <c r="B79" s="78"/>
      <c r="C79" s="78"/>
      <c r="D79" s="43">
        <f t="shared" ref="D79:D93" si="2">IF($D56&lt;&gt;"",$D56,0)</f>
        <v>0</v>
      </c>
      <c r="E79" s="44"/>
      <c r="F79" s="216"/>
      <c r="G79" s="231"/>
      <c r="H79" s="231"/>
      <c r="I79" s="231"/>
      <c r="J79" s="231"/>
      <c r="K79" s="231"/>
      <c r="L79" s="217"/>
      <c r="M79" s="208" t="str">
        <f t="shared" ref="M79:M93" si="3">IF(M56="Θ", 9, IF(M56="Ο", 3, IF(M56="▲", 1, "0")))</f>
        <v>0</v>
      </c>
      <c r="N79" s="209"/>
      <c r="O79" s="209"/>
      <c r="P79" s="209"/>
      <c r="Q79" s="209"/>
      <c r="R79" s="210"/>
      <c r="S79" s="208" t="str">
        <f t="shared" ref="S79:S93" si="4">IF(S56="Θ", 9, IF(S56="Ο", 3, IF(S56="▲", 1, "0")))</f>
        <v>0</v>
      </c>
      <c r="T79" s="209"/>
      <c r="U79" s="209"/>
      <c r="V79" s="209"/>
      <c r="W79" s="209"/>
      <c r="X79" s="210"/>
      <c r="Y79" s="208" t="str">
        <f t="shared" ref="Y79:Y93" si="5">IF(Y56="Θ", 9, IF(Y56="Ο", 3, IF(Y56="▲", 1, "0")))</f>
        <v>0</v>
      </c>
      <c r="Z79" s="209"/>
      <c r="AA79" s="209"/>
      <c r="AB79" s="209"/>
      <c r="AC79" s="209"/>
      <c r="AD79" s="210"/>
      <c r="AE79" s="208" t="str">
        <f t="shared" ref="AE79:AE93" si="6">IF(AE56="Θ", 9, IF(AE56="Ο", 3, IF(AE56="▲", 1, "0")))</f>
        <v>0</v>
      </c>
      <c r="AF79" s="209"/>
      <c r="AG79" s="209"/>
      <c r="AH79" s="209"/>
      <c r="AI79" s="209"/>
      <c r="AJ79" s="210"/>
      <c r="AK79" s="208" t="str">
        <f t="shared" ref="AK79:AK93" si="7">IF(AK56="Θ", 9, IF(AK56="Ο", 3, IF(AK56="▲", 1, "0")))</f>
        <v>0</v>
      </c>
      <c r="AL79" s="209"/>
      <c r="AM79" s="209"/>
      <c r="AN79" s="209"/>
      <c r="AO79" s="209"/>
      <c r="AP79" s="210"/>
      <c r="AQ79" s="208" t="str">
        <f t="shared" ref="AQ79:AQ93" si="8">IF(AQ56="Θ", 9, IF(AQ56="Ο", 3, IF(AQ56="▲", 1, "0")))</f>
        <v>0</v>
      </c>
      <c r="AR79" s="209"/>
      <c r="AS79" s="209"/>
      <c r="AT79" s="209"/>
      <c r="AU79" s="209"/>
      <c r="AV79" s="210"/>
      <c r="AW79" s="208" t="str">
        <f t="shared" ref="AW79:AW93" si="9">IF(AW56="Θ", 9, IF(AW56="Ο", 3, IF(AW56="▲", 1, "0")))</f>
        <v>0</v>
      </c>
      <c r="AX79" s="209"/>
      <c r="AY79" s="209"/>
      <c r="AZ79" s="209"/>
      <c r="BA79" s="209"/>
      <c r="BB79" s="210"/>
      <c r="BC79" s="208" t="str">
        <f t="shared" ref="BC79:BC93" si="10">IF(BC56="Θ", 9, IF(BC56="Ο", 3, IF(BC56="▲", 1, "0")))</f>
        <v>0</v>
      </c>
      <c r="BD79" s="209"/>
      <c r="BE79" s="209"/>
      <c r="BF79" s="209"/>
      <c r="BG79" s="209"/>
      <c r="BH79" s="210"/>
      <c r="BI79" s="208" t="str">
        <f t="shared" ref="BI79:BI93" si="11">IF(BI56="Θ", 9, IF(BI56="Ο", 3, IF(BI56="▲", 1, "0")))</f>
        <v>0</v>
      </c>
      <c r="BJ79" s="209"/>
      <c r="BK79" s="209"/>
      <c r="BL79" s="209"/>
      <c r="BM79" s="209"/>
      <c r="BN79" s="210"/>
      <c r="BO79" s="208" t="str">
        <f t="shared" ref="BO79:BO93" si="12">IF(BO56="Θ", 9, IF(BO56="Ο", 3, IF(BO56="▲", 1, "0")))</f>
        <v>0</v>
      </c>
      <c r="BP79" s="209"/>
      <c r="BQ79" s="209"/>
      <c r="BR79" s="209"/>
      <c r="BS79" s="209"/>
      <c r="BT79" s="210"/>
      <c r="BU79" s="208" t="str">
        <f t="shared" ref="BU79:BU93" si="13">IF(BU56="Θ", 9, IF(BU56="Ο", 3, IF(BU56="▲", 1, "0")))</f>
        <v>0</v>
      </c>
      <c r="BV79" s="209"/>
      <c r="BW79" s="209"/>
      <c r="BX79" s="209"/>
      <c r="BY79" s="209"/>
      <c r="BZ79" s="210"/>
      <c r="CA79" s="208" t="str">
        <f t="shared" ref="CA79:CA93" si="14">IF(CA56="Θ", 9, IF(CA56="Ο", 3, IF(CA56="▲", 1, "0")))</f>
        <v>0</v>
      </c>
      <c r="CB79" s="209"/>
      <c r="CC79" s="209"/>
      <c r="CD79" s="209"/>
      <c r="CE79" s="209"/>
      <c r="CF79" s="210"/>
      <c r="CG79" s="208" t="str">
        <f t="shared" ref="CG79:CG93" si="15">IF(CG56="Θ", 9, IF(CG56="Ο", 3, IF(CG56="▲", 1, "0")))</f>
        <v>0</v>
      </c>
      <c r="CH79" s="209"/>
      <c r="CI79" s="209"/>
      <c r="CJ79" s="209"/>
      <c r="CK79" s="209"/>
      <c r="CL79" s="210"/>
      <c r="CM79" s="208" t="str">
        <f t="shared" ref="CM79:CM93" si="16">IF(CM56="Θ", 9, IF(CM56="Ο", 3, IF(CM56="▲", 1, "0")))</f>
        <v>0</v>
      </c>
      <c r="CN79" s="209"/>
      <c r="CO79" s="209"/>
      <c r="CP79" s="209"/>
      <c r="CQ79" s="209"/>
      <c r="CR79" s="210"/>
      <c r="CS79" s="208" t="str">
        <f t="shared" ref="CS79:CS93" si="17">IF(CS56="Θ", 9, IF(CS56="Ο", 3, IF(CS56="▲", 1, "0")))</f>
        <v>0</v>
      </c>
      <c r="CT79" s="209"/>
      <c r="CU79" s="209"/>
      <c r="CV79" s="209"/>
      <c r="CW79" s="209"/>
      <c r="CX79" s="210"/>
      <c r="CY79" s="70"/>
    </row>
    <row r="80" spans="1:113" s="46" customFormat="1" ht="23.25" hidden="1" customHeight="1" x14ac:dyDescent="0.25">
      <c r="B80" s="78"/>
      <c r="C80" s="78"/>
      <c r="D80" s="43">
        <f t="shared" si="2"/>
        <v>0</v>
      </c>
      <c r="E80" s="44"/>
      <c r="F80" s="216"/>
      <c r="G80" s="231"/>
      <c r="H80" s="231"/>
      <c r="I80" s="231"/>
      <c r="J80" s="231"/>
      <c r="K80" s="231"/>
      <c r="L80" s="217"/>
      <c r="M80" s="208" t="str">
        <f t="shared" si="3"/>
        <v>0</v>
      </c>
      <c r="N80" s="209"/>
      <c r="O80" s="209"/>
      <c r="P80" s="209"/>
      <c r="Q80" s="209"/>
      <c r="R80" s="210"/>
      <c r="S80" s="208" t="str">
        <f t="shared" si="4"/>
        <v>0</v>
      </c>
      <c r="T80" s="209"/>
      <c r="U80" s="209"/>
      <c r="V80" s="209"/>
      <c r="W80" s="209"/>
      <c r="X80" s="210"/>
      <c r="Y80" s="208" t="str">
        <f t="shared" si="5"/>
        <v>0</v>
      </c>
      <c r="Z80" s="209"/>
      <c r="AA80" s="209"/>
      <c r="AB80" s="209"/>
      <c r="AC80" s="209"/>
      <c r="AD80" s="210"/>
      <c r="AE80" s="208" t="str">
        <f t="shared" si="6"/>
        <v>0</v>
      </c>
      <c r="AF80" s="209"/>
      <c r="AG80" s="209"/>
      <c r="AH80" s="209"/>
      <c r="AI80" s="209"/>
      <c r="AJ80" s="210"/>
      <c r="AK80" s="208" t="str">
        <f t="shared" si="7"/>
        <v>0</v>
      </c>
      <c r="AL80" s="209"/>
      <c r="AM80" s="209"/>
      <c r="AN80" s="209"/>
      <c r="AO80" s="209"/>
      <c r="AP80" s="210"/>
      <c r="AQ80" s="208" t="str">
        <f t="shared" si="8"/>
        <v>0</v>
      </c>
      <c r="AR80" s="209"/>
      <c r="AS80" s="209"/>
      <c r="AT80" s="209"/>
      <c r="AU80" s="209"/>
      <c r="AV80" s="210"/>
      <c r="AW80" s="208" t="str">
        <f t="shared" si="9"/>
        <v>0</v>
      </c>
      <c r="AX80" s="209"/>
      <c r="AY80" s="209"/>
      <c r="AZ80" s="209"/>
      <c r="BA80" s="209"/>
      <c r="BB80" s="210"/>
      <c r="BC80" s="208" t="str">
        <f t="shared" si="10"/>
        <v>0</v>
      </c>
      <c r="BD80" s="209"/>
      <c r="BE80" s="209"/>
      <c r="BF80" s="209"/>
      <c r="BG80" s="209"/>
      <c r="BH80" s="210"/>
      <c r="BI80" s="208" t="str">
        <f t="shared" si="11"/>
        <v>0</v>
      </c>
      <c r="BJ80" s="209"/>
      <c r="BK80" s="209"/>
      <c r="BL80" s="209"/>
      <c r="BM80" s="209"/>
      <c r="BN80" s="210"/>
      <c r="BO80" s="208" t="str">
        <f t="shared" si="12"/>
        <v>0</v>
      </c>
      <c r="BP80" s="209"/>
      <c r="BQ80" s="209"/>
      <c r="BR80" s="209"/>
      <c r="BS80" s="209"/>
      <c r="BT80" s="210"/>
      <c r="BU80" s="208" t="str">
        <f t="shared" si="13"/>
        <v>0</v>
      </c>
      <c r="BV80" s="209"/>
      <c r="BW80" s="209"/>
      <c r="BX80" s="209"/>
      <c r="BY80" s="209"/>
      <c r="BZ80" s="210"/>
      <c r="CA80" s="208" t="str">
        <f t="shared" si="14"/>
        <v>0</v>
      </c>
      <c r="CB80" s="209"/>
      <c r="CC80" s="209"/>
      <c r="CD80" s="209"/>
      <c r="CE80" s="209"/>
      <c r="CF80" s="210"/>
      <c r="CG80" s="208" t="str">
        <f t="shared" si="15"/>
        <v>0</v>
      </c>
      <c r="CH80" s="209"/>
      <c r="CI80" s="209"/>
      <c r="CJ80" s="209"/>
      <c r="CK80" s="209"/>
      <c r="CL80" s="210"/>
      <c r="CM80" s="208" t="str">
        <f t="shared" si="16"/>
        <v>0</v>
      </c>
      <c r="CN80" s="209"/>
      <c r="CO80" s="209"/>
      <c r="CP80" s="209"/>
      <c r="CQ80" s="209"/>
      <c r="CR80" s="210"/>
      <c r="CS80" s="208" t="str">
        <f t="shared" si="17"/>
        <v>0</v>
      </c>
      <c r="CT80" s="209"/>
      <c r="CU80" s="209"/>
      <c r="CV80" s="209"/>
      <c r="CW80" s="209"/>
      <c r="CX80" s="210"/>
      <c r="CY80" s="70"/>
    </row>
    <row r="81" spans="2:110" s="46" customFormat="1" ht="23.25" hidden="1" customHeight="1" x14ac:dyDescent="0.25">
      <c r="B81" s="78"/>
      <c r="C81" s="78"/>
      <c r="D81" s="43">
        <f t="shared" si="2"/>
        <v>0</v>
      </c>
      <c r="E81" s="44"/>
      <c r="F81" s="216"/>
      <c r="G81" s="231"/>
      <c r="H81" s="231"/>
      <c r="I81" s="231"/>
      <c r="J81" s="231"/>
      <c r="K81" s="231"/>
      <c r="L81" s="217"/>
      <c r="M81" s="208" t="str">
        <f t="shared" si="3"/>
        <v>0</v>
      </c>
      <c r="N81" s="209"/>
      <c r="O81" s="209"/>
      <c r="P81" s="209"/>
      <c r="Q81" s="209"/>
      <c r="R81" s="210"/>
      <c r="S81" s="208" t="str">
        <f t="shared" si="4"/>
        <v>0</v>
      </c>
      <c r="T81" s="209"/>
      <c r="U81" s="209"/>
      <c r="V81" s="209"/>
      <c r="W81" s="209"/>
      <c r="X81" s="210"/>
      <c r="Y81" s="208" t="str">
        <f t="shared" si="5"/>
        <v>0</v>
      </c>
      <c r="Z81" s="209"/>
      <c r="AA81" s="209"/>
      <c r="AB81" s="209"/>
      <c r="AC81" s="209"/>
      <c r="AD81" s="210"/>
      <c r="AE81" s="208" t="str">
        <f t="shared" si="6"/>
        <v>0</v>
      </c>
      <c r="AF81" s="209"/>
      <c r="AG81" s="209"/>
      <c r="AH81" s="209"/>
      <c r="AI81" s="209"/>
      <c r="AJ81" s="210"/>
      <c r="AK81" s="208" t="str">
        <f t="shared" si="7"/>
        <v>0</v>
      </c>
      <c r="AL81" s="209"/>
      <c r="AM81" s="209"/>
      <c r="AN81" s="209"/>
      <c r="AO81" s="209"/>
      <c r="AP81" s="210"/>
      <c r="AQ81" s="208" t="str">
        <f t="shared" si="8"/>
        <v>0</v>
      </c>
      <c r="AR81" s="209"/>
      <c r="AS81" s="209"/>
      <c r="AT81" s="209"/>
      <c r="AU81" s="209"/>
      <c r="AV81" s="210"/>
      <c r="AW81" s="208" t="str">
        <f t="shared" si="9"/>
        <v>0</v>
      </c>
      <c r="AX81" s="209"/>
      <c r="AY81" s="209"/>
      <c r="AZ81" s="209"/>
      <c r="BA81" s="209"/>
      <c r="BB81" s="210"/>
      <c r="BC81" s="208" t="str">
        <f t="shared" si="10"/>
        <v>0</v>
      </c>
      <c r="BD81" s="209"/>
      <c r="BE81" s="209"/>
      <c r="BF81" s="209"/>
      <c r="BG81" s="209"/>
      <c r="BH81" s="210"/>
      <c r="BI81" s="208" t="str">
        <f t="shared" si="11"/>
        <v>0</v>
      </c>
      <c r="BJ81" s="209"/>
      <c r="BK81" s="209"/>
      <c r="BL81" s="209"/>
      <c r="BM81" s="209"/>
      <c r="BN81" s="210"/>
      <c r="BO81" s="208" t="str">
        <f t="shared" si="12"/>
        <v>0</v>
      </c>
      <c r="BP81" s="209"/>
      <c r="BQ81" s="209"/>
      <c r="BR81" s="209"/>
      <c r="BS81" s="209"/>
      <c r="BT81" s="210"/>
      <c r="BU81" s="208" t="str">
        <f t="shared" si="13"/>
        <v>0</v>
      </c>
      <c r="BV81" s="209"/>
      <c r="BW81" s="209"/>
      <c r="BX81" s="209"/>
      <c r="BY81" s="209"/>
      <c r="BZ81" s="210"/>
      <c r="CA81" s="208" t="str">
        <f t="shared" si="14"/>
        <v>0</v>
      </c>
      <c r="CB81" s="209"/>
      <c r="CC81" s="209"/>
      <c r="CD81" s="209"/>
      <c r="CE81" s="209"/>
      <c r="CF81" s="210"/>
      <c r="CG81" s="208" t="str">
        <f t="shared" si="15"/>
        <v>0</v>
      </c>
      <c r="CH81" s="209"/>
      <c r="CI81" s="209"/>
      <c r="CJ81" s="209"/>
      <c r="CK81" s="209"/>
      <c r="CL81" s="210"/>
      <c r="CM81" s="208" t="str">
        <f t="shared" si="16"/>
        <v>0</v>
      </c>
      <c r="CN81" s="209"/>
      <c r="CO81" s="209"/>
      <c r="CP81" s="209"/>
      <c r="CQ81" s="209"/>
      <c r="CR81" s="210"/>
      <c r="CS81" s="208" t="str">
        <f t="shared" si="17"/>
        <v>0</v>
      </c>
      <c r="CT81" s="209"/>
      <c r="CU81" s="209"/>
      <c r="CV81" s="209"/>
      <c r="CW81" s="209"/>
      <c r="CX81" s="210"/>
      <c r="CY81" s="70"/>
    </row>
    <row r="82" spans="2:110" s="46" customFormat="1" ht="23.25" hidden="1" customHeight="1" x14ac:dyDescent="0.25">
      <c r="B82" s="78"/>
      <c r="C82" s="78"/>
      <c r="D82" s="43">
        <f t="shared" si="2"/>
        <v>0</v>
      </c>
      <c r="E82" s="44"/>
      <c r="F82" s="216"/>
      <c r="G82" s="231"/>
      <c r="H82" s="231"/>
      <c r="I82" s="231"/>
      <c r="J82" s="231"/>
      <c r="K82" s="231"/>
      <c r="L82" s="217"/>
      <c r="M82" s="208" t="str">
        <f t="shared" si="3"/>
        <v>0</v>
      </c>
      <c r="N82" s="209"/>
      <c r="O82" s="209"/>
      <c r="P82" s="209"/>
      <c r="Q82" s="209"/>
      <c r="R82" s="210"/>
      <c r="S82" s="208" t="str">
        <f t="shared" si="4"/>
        <v>0</v>
      </c>
      <c r="T82" s="209"/>
      <c r="U82" s="209"/>
      <c r="V82" s="209"/>
      <c r="W82" s="209"/>
      <c r="X82" s="210"/>
      <c r="Y82" s="208" t="str">
        <f t="shared" si="5"/>
        <v>0</v>
      </c>
      <c r="Z82" s="209"/>
      <c r="AA82" s="209"/>
      <c r="AB82" s="209"/>
      <c r="AC82" s="209"/>
      <c r="AD82" s="210"/>
      <c r="AE82" s="208" t="str">
        <f t="shared" si="6"/>
        <v>0</v>
      </c>
      <c r="AF82" s="209"/>
      <c r="AG82" s="209"/>
      <c r="AH82" s="209"/>
      <c r="AI82" s="209"/>
      <c r="AJ82" s="210"/>
      <c r="AK82" s="208" t="str">
        <f t="shared" si="7"/>
        <v>0</v>
      </c>
      <c r="AL82" s="209"/>
      <c r="AM82" s="209"/>
      <c r="AN82" s="209"/>
      <c r="AO82" s="209"/>
      <c r="AP82" s="210"/>
      <c r="AQ82" s="208" t="str">
        <f t="shared" si="8"/>
        <v>0</v>
      </c>
      <c r="AR82" s="209"/>
      <c r="AS82" s="209"/>
      <c r="AT82" s="209"/>
      <c r="AU82" s="209"/>
      <c r="AV82" s="210"/>
      <c r="AW82" s="208" t="str">
        <f t="shared" si="9"/>
        <v>0</v>
      </c>
      <c r="AX82" s="209"/>
      <c r="AY82" s="209"/>
      <c r="AZ82" s="209"/>
      <c r="BA82" s="209"/>
      <c r="BB82" s="210"/>
      <c r="BC82" s="208" t="str">
        <f t="shared" si="10"/>
        <v>0</v>
      </c>
      <c r="BD82" s="209"/>
      <c r="BE82" s="209"/>
      <c r="BF82" s="209"/>
      <c r="BG82" s="209"/>
      <c r="BH82" s="210"/>
      <c r="BI82" s="208" t="str">
        <f t="shared" si="11"/>
        <v>0</v>
      </c>
      <c r="BJ82" s="209"/>
      <c r="BK82" s="209"/>
      <c r="BL82" s="209"/>
      <c r="BM82" s="209"/>
      <c r="BN82" s="210"/>
      <c r="BO82" s="208" t="str">
        <f t="shared" si="12"/>
        <v>0</v>
      </c>
      <c r="BP82" s="209"/>
      <c r="BQ82" s="209"/>
      <c r="BR82" s="209"/>
      <c r="BS82" s="209"/>
      <c r="BT82" s="210"/>
      <c r="BU82" s="208" t="str">
        <f t="shared" si="13"/>
        <v>0</v>
      </c>
      <c r="BV82" s="209"/>
      <c r="BW82" s="209"/>
      <c r="BX82" s="209"/>
      <c r="BY82" s="209"/>
      <c r="BZ82" s="210"/>
      <c r="CA82" s="208" t="str">
        <f t="shared" si="14"/>
        <v>0</v>
      </c>
      <c r="CB82" s="209"/>
      <c r="CC82" s="209"/>
      <c r="CD82" s="209"/>
      <c r="CE82" s="209"/>
      <c r="CF82" s="210"/>
      <c r="CG82" s="208" t="str">
        <f t="shared" si="15"/>
        <v>0</v>
      </c>
      <c r="CH82" s="209"/>
      <c r="CI82" s="209"/>
      <c r="CJ82" s="209"/>
      <c r="CK82" s="209"/>
      <c r="CL82" s="210"/>
      <c r="CM82" s="208" t="str">
        <f t="shared" si="16"/>
        <v>0</v>
      </c>
      <c r="CN82" s="209"/>
      <c r="CO82" s="209"/>
      <c r="CP82" s="209"/>
      <c r="CQ82" s="209"/>
      <c r="CR82" s="210"/>
      <c r="CS82" s="208" t="str">
        <f t="shared" si="17"/>
        <v>0</v>
      </c>
      <c r="CT82" s="209"/>
      <c r="CU82" s="209"/>
      <c r="CV82" s="209"/>
      <c r="CW82" s="209"/>
      <c r="CX82" s="210"/>
      <c r="CY82" s="70"/>
    </row>
    <row r="83" spans="2:110" s="46" customFormat="1" ht="23.25" hidden="1" customHeight="1" x14ac:dyDescent="0.25">
      <c r="B83" s="78"/>
      <c r="C83" s="78"/>
      <c r="D83" s="43">
        <f t="shared" si="2"/>
        <v>0</v>
      </c>
      <c r="E83" s="44"/>
      <c r="F83" s="216"/>
      <c r="G83" s="231"/>
      <c r="H83" s="231"/>
      <c r="I83" s="231"/>
      <c r="J83" s="231"/>
      <c r="K83" s="231"/>
      <c r="L83" s="217"/>
      <c r="M83" s="208" t="str">
        <f t="shared" si="3"/>
        <v>0</v>
      </c>
      <c r="N83" s="209"/>
      <c r="O83" s="209"/>
      <c r="P83" s="209"/>
      <c r="Q83" s="209"/>
      <c r="R83" s="210"/>
      <c r="S83" s="208" t="str">
        <f t="shared" si="4"/>
        <v>0</v>
      </c>
      <c r="T83" s="209"/>
      <c r="U83" s="209"/>
      <c r="V83" s="209"/>
      <c r="W83" s="209"/>
      <c r="X83" s="210"/>
      <c r="Y83" s="208" t="str">
        <f t="shared" si="5"/>
        <v>0</v>
      </c>
      <c r="Z83" s="209"/>
      <c r="AA83" s="209"/>
      <c r="AB83" s="209"/>
      <c r="AC83" s="209"/>
      <c r="AD83" s="210"/>
      <c r="AE83" s="208" t="str">
        <f t="shared" si="6"/>
        <v>0</v>
      </c>
      <c r="AF83" s="209"/>
      <c r="AG83" s="209"/>
      <c r="AH83" s="209"/>
      <c r="AI83" s="209"/>
      <c r="AJ83" s="210"/>
      <c r="AK83" s="208" t="str">
        <f t="shared" si="7"/>
        <v>0</v>
      </c>
      <c r="AL83" s="209"/>
      <c r="AM83" s="209"/>
      <c r="AN83" s="209"/>
      <c r="AO83" s="209"/>
      <c r="AP83" s="210"/>
      <c r="AQ83" s="208" t="str">
        <f t="shared" si="8"/>
        <v>0</v>
      </c>
      <c r="AR83" s="209"/>
      <c r="AS83" s="209"/>
      <c r="AT83" s="209"/>
      <c r="AU83" s="209"/>
      <c r="AV83" s="210"/>
      <c r="AW83" s="208" t="str">
        <f t="shared" si="9"/>
        <v>0</v>
      </c>
      <c r="AX83" s="209"/>
      <c r="AY83" s="209"/>
      <c r="AZ83" s="209"/>
      <c r="BA83" s="209"/>
      <c r="BB83" s="210"/>
      <c r="BC83" s="208" t="str">
        <f t="shared" si="10"/>
        <v>0</v>
      </c>
      <c r="BD83" s="209"/>
      <c r="BE83" s="209"/>
      <c r="BF83" s="209"/>
      <c r="BG83" s="209"/>
      <c r="BH83" s="210"/>
      <c r="BI83" s="208" t="str">
        <f t="shared" si="11"/>
        <v>0</v>
      </c>
      <c r="BJ83" s="209"/>
      <c r="BK83" s="209"/>
      <c r="BL83" s="209"/>
      <c r="BM83" s="209"/>
      <c r="BN83" s="210"/>
      <c r="BO83" s="208" t="str">
        <f t="shared" si="12"/>
        <v>0</v>
      </c>
      <c r="BP83" s="209"/>
      <c r="BQ83" s="209"/>
      <c r="BR83" s="209"/>
      <c r="BS83" s="209"/>
      <c r="BT83" s="210"/>
      <c r="BU83" s="208" t="str">
        <f t="shared" si="13"/>
        <v>0</v>
      </c>
      <c r="BV83" s="209"/>
      <c r="BW83" s="209"/>
      <c r="BX83" s="209"/>
      <c r="BY83" s="209"/>
      <c r="BZ83" s="210"/>
      <c r="CA83" s="208" t="str">
        <f t="shared" si="14"/>
        <v>0</v>
      </c>
      <c r="CB83" s="209"/>
      <c r="CC83" s="209"/>
      <c r="CD83" s="209"/>
      <c r="CE83" s="209"/>
      <c r="CF83" s="210"/>
      <c r="CG83" s="208" t="str">
        <f t="shared" si="15"/>
        <v>0</v>
      </c>
      <c r="CH83" s="209"/>
      <c r="CI83" s="209"/>
      <c r="CJ83" s="209"/>
      <c r="CK83" s="209"/>
      <c r="CL83" s="210"/>
      <c r="CM83" s="208" t="str">
        <f t="shared" si="16"/>
        <v>0</v>
      </c>
      <c r="CN83" s="209"/>
      <c r="CO83" s="209"/>
      <c r="CP83" s="209"/>
      <c r="CQ83" s="209"/>
      <c r="CR83" s="210"/>
      <c r="CS83" s="208" t="str">
        <f t="shared" si="17"/>
        <v>0</v>
      </c>
      <c r="CT83" s="209"/>
      <c r="CU83" s="209"/>
      <c r="CV83" s="209"/>
      <c r="CW83" s="209"/>
      <c r="CX83" s="210"/>
      <c r="CY83" s="70"/>
    </row>
    <row r="84" spans="2:110" s="46" customFormat="1" ht="23.25" hidden="1" customHeight="1" x14ac:dyDescent="0.25">
      <c r="B84" s="78"/>
      <c r="C84" s="78"/>
      <c r="D84" s="43">
        <f t="shared" si="2"/>
        <v>0</v>
      </c>
      <c r="E84" s="44"/>
      <c r="F84" s="216"/>
      <c r="G84" s="231"/>
      <c r="H84" s="231"/>
      <c r="I84" s="231"/>
      <c r="J84" s="231"/>
      <c r="K84" s="231"/>
      <c r="L84" s="217"/>
      <c r="M84" s="208" t="str">
        <f t="shared" si="3"/>
        <v>0</v>
      </c>
      <c r="N84" s="209"/>
      <c r="O84" s="209"/>
      <c r="P84" s="209"/>
      <c r="Q84" s="209"/>
      <c r="R84" s="210"/>
      <c r="S84" s="208" t="str">
        <f t="shared" si="4"/>
        <v>0</v>
      </c>
      <c r="T84" s="209"/>
      <c r="U84" s="209"/>
      <c r="V84" s="209"/>
      <c r="W84" s="209"/>
      <c r="X84" s="210"/>
      <c r="Y84" s="208" t="str">
        <f t="shared" si="5"/>
        <v>0</v>
      </c>
      <c r="Z84" s="209"/>
      <c r="AA84" s="209"/>
      <c r="AB84" s="209"/>
      <c r="AC84" s="209"/>
      <c r="AD84" s="210"/>
      <c r="AE84" s="208" t="str">
        <f t="shared" si="6"/>
        <v>0</v>
      </c>
      <c r="AF84" s="209"/>
      <c r="AG84" s="209"/>
      <c r="AH84" s="209"/>
      <c r="AI84" s="209"/>
      <c r="AJ84" s="210"/>
      <c r="AK84" s="208" t="str">
        <f t="shared" si="7"/>
        <v>0</v>
      </c>
      <c r="AL84" s="209"/>
      <c r="AM84" s="209"/>
      <c r="AN84" s="209"/>
      <c r="AO84" s="209"/>
      <c r="AP84" s="210"/>
      <c r="AQ84" s="208" t="str">
        <f t="shared" si="8"/>
        <v>0</v>
      </c>
      <c r="AR84" s="209"/>
      <c r="AS84" s="209"/>
      <c r="AT84" s="209"/>
      <c r="AU84" s="209"/>
      <c r="AV84" s="210"/>
      <c r="AW84" s="208" t="str">
        <f t="shared" si="9"/>
        <v>0</v>
      </c>
      <c r="AX84" s="209"/>
      <c r="AY84" s="209"/>
      <c r="AZ84" s="209"/>
      <c r="BA84" s="209"/>
      <c r="BB84" s="210"/>
      <c r="BC84" s="208" t="str">
        <f t="shared" si="10"/>
        <v>0</v>
      </c>
      <c r="BD84" s="209"/>
      <c r="BE84" s="209"/>
      <c r="BF84" s="209"/>
      <c r="BG84" s="209"/>
      <c r="BH84" s="210"/>
      <c r="BI84" s="208" t="str">
        <f t="shared" si="11"/>
        <v>0</v>
      </c>
      <c r="BJ84" s="209"/>
      <c r="BK84" s="209"/>
      <c r="BL84" s="209"/>
      <c r="BM84" s="209"/>
      <c r="BN84" s="210"/>
      <c r="BO84" s="208" t="str">
        <f t="shared" si="12"/>
        <v>0</v>
      </c>
      <c r="BP84" s="209"/>
      <c r="BQ84" s="209"/>
      <c r="BR84" s="209"/>
      <c r="BS84" s="209"/>
      <c r="BT84" s="210"/>
      <c r="BU84" s="208" t="str">
        <f t="shared" si="13"/>
        <v>0</v>
      </c>
      <c r="BV84" s="209"/>
      <c r="BW84" s="209"/>
      <c r="BX84" s="209"/>
      <c r="BY84" s="209"/>
      <c r="BZ84" s="210"/>
      <c r="CA84" s="208" t="str">
        <f t="shared" si="14"/>
        <v>0</v>
      </c>
      <c r="CB84" s="209"/>
      <c r="CC84" s="209"/>
      <c r="CD84" s="209"/>
      <c r="CE84" s="209"/>
      <c r="CF84" s="210"/>
      <c r="CG84" s="208" t="str">
        <f t="shared" si="15"/>
        <v>0</v>
      </c>
      <c r="CH84" s="209"/>
      <c r="CI84" s="209"/>
      <c r="CJ84" s="209"/>
      <c r="CK84" s="209"/>
      <c r="CL84" s="210"/>
      <c r="CM84" s="208" t="str">
        <f t="shared" si="16"/>
        <v>0</v>
      </c>
      <c r="CN84" s="209"/>
      <c r="CO84" s="209"/>
      <c r="CP84" s="209"/>
      <c r="CQ84" s="209"/>
      <c r="CR84" s="210"/>
      <c r="CS84" s="208" t="str">
        <f t="shared" si="17"/>
        <v>0</v>
      </c>
      <c r="CT84" s="209"/>
      <c r="CU84" s="209"/>
      <c r="CV84" s="209"/>
      <c r="CW84" s="209"/>
      <c r="CX84" s="210"/>
      <c r="CY84" s="70"/>
    </row>
    <row r="85" spans="2:110" s="46" customFormat="1" ht="23.25" hidden="1" customHeight="1" x14ac:dyDescent="0.25">
      <c r="B85" s="78"/>
      <c r="C85" s="78"/>
      <c r="D85" s="43">
        <f t="shared" si="2"/>
        <v>0</v>
      </c>
      <c r="E85" s="44"/>
      <c r="F85" s="216"/>
      <c r="G85" s="231"/>
      <c r="H85" s="231"/>
      <c r="I85" s="231"/>
      <c r="J85" s="231"/>
      <c r="K85" s="231"/>
      <c r="L85" s="217"/>
      <c r="M85" s="208" t="str">
        <f t="shared" si="3"/>
        <v>0</v>
      </c>
      <c r="N85" s="209"/>
      <c r="O85" s="209"/>
      <c r="P85" s="209"/>
      <c r="Q85" s="209"/>
      <c r="R85" s="210"/>
      <c r="S85" s="208" t="str">
        <f t="shared" si="4"/>
        <v>0</v>
      </c>
      <c r="T85" s="209"/>
      <c r="U85" s="209"/>
      <c r="V85" s="209"/>
      <c r="W85" s="209"/>
      <c r="X85" s="210"/>
      <c r="Y85" s="208" t="str">
        <f t="shared" si="5"/>
        <v>0</v>
      </c>
      <c r="Z85" s="209"/>
      <c r="AA85" s="209"/>
      <c r="AB85" s="209"/>
      <c r="AC85" s="209"/>
      <c r="AD85" s="210"/>
      <c r="AE85" s="208" t="str">
        <f t="shared" si="6"/>
        <v>0</v>
      </c>
      <c r="AF85" s="209"/>
      <c r="AG85" s="209"/>
      <c r="AH85" s="209"/>
      <c r="AI85" s="209"/>
      <c r="AJ85" s="210"/>
      <c r="AK85" s="208" t="str">
        <f t="shared" si="7"/>
        <v>0</v>
      </c>
      <c r="AL85" s="209"/>
      <c r="AM85" s="209"/>
      <c r="AN85" s="209"/>
      <c r="AO85" s="209"/>
      <c r="AP85" s="210"/>
      <c r="AQ85" s="208" t="str">
        <f t="shared" si="8"/>
        <v>0</v>
      </c>
      <c r="AR85" s="209"/>
      <c r="AS85" s="209"/>
      <c r="AT85" s="209"/>
      <c r="AU85" s="209"/>
      <c r="AV85" s="210"/>
      <c r="AW85" s="208" t="str">
        <f t="shared" si="9"/>
        <v>0</v>
      </c>
      <c r="AX85" s="209"/>
      <c r="AY85" s="209"/>
      <c r="AZ85" s="209"/>
      <c r="BA85" s="209"/>
      <c r="BB85" s="210"/>
      <c r="BC85" s="208" t="str">
        <f t="shared" si="10"/>
        <v>0</v>
      </c>
      <c r="BD85" s="209"/>
      <c r="BE85" s="209"/>
      <c r="BF85" s="209"/>
      <c r="BG85" s="209"/>
      <c r="BH85" s="210"/>
      <c r="BI85" s="208" t="str">
        <f t="shared" si="11"/>
        <v>0</v>
      </c>
      <c r="BJ85" s="209"/>
      <c r="BK85" s="209"/>
      <c r="BL85" s="209"/>
      <c r="BM85" s="209"/>
      <c r="BN85" s="210"/>
      <c r="BO85" s="208" t="str">
        <f t="shared" si="12"/>
        <v>0</v>
      </c>
      <c r="BP85" s="209"/>
      <c r="BQ85" s="209"/>
      <c r="BR85" s="209"/>
      <c r="BS85" s="209"/>
      <c r="BT85" s="210"/>
      <c r="BU85" s="208" t="str">
        <f t="shared" si="13"/>
        <v>0</v>
      </c>
      <c r="BV85" s="209"/>
      <c r="BW85" s="209"/>
      <c r="BX85" s="209"/>
      <c r="BY85" s="209"/>
      <c r="BZ85" s="210"/>
      <c r="CA85" s="208" t="str">
        <f t="shared" si="14"/>
        <v>0</v>
      </c>
      <c r="CB85" s="209"/>
      <c r="CC85" s="209"/>
      <c r="CD85" s="209"/>
      <c r="CE85" s="209"/>
      <c r="CF85" s="210"/>
      <c r="CG85" s="208" t="str">
        <f t="shared" si="15"/>
        <v>0</v>
      </c>
      <c r="CH85" s="209"/>
      <c r="CI85" s="209"/>
      <c r="CJ85" s="209"/>
      <c r="CK85" s="209"/>
      <c r="CL85" s="210"/>
      <c r="CM85" s="208" t="str">
        <f t="shared" si="16"/>
        <v>0</v>
      </c>
      <c r="CN85" s="209"/>
      <c r="CO85" s="209"/>
      <c r="CP85" s="209"/>
      <c r="CQ85" s="209"/>
      <c r="CR85" s="210"/>
      <c r="CS85" s="208" t="str">
        <f t="shared" si="17"/>
        <v>0</v>
      </c>
      <c r="CT85" s="209"/>
      <c r="CU85" s="209"/>
      <c r="CV85" s="209"/>
      <c r="CW85" s="209"/>
      <c r="CX85" s="210"/>
      <c r="CY85" s="70"/>
    </row>
    <row r="86" spans="2:110" s="46" customFormat="1" ht="23.25" hidden="1" customHeight="1" x14ac:dyDescent="0.25">
      <c r="B86" s="78"/>
      <c r="C86" s="78"/>
      <c r="D86" s="43">
        <f t="shared" si="2"/>
        <v>0</v>
      </c>
      <c r="E86" s="44"/>
      <c r="F86" s="216"/>
      <c r="G86" s="231"/>
      <c r="H86" s="231"/>
      <c r="I86" s="231"/>
      <c r="J86" s="231"/>
      <c r="K86" s="231"/>
      <c r="L86" s="217"/>
      <c r="M86" s="208" t="str">
        <f t="shared" si="3"/>
        <v>0</v>
      </c>
      <c r="N86" s="209"/>
      <c r="O86" s="209"/>
      <c r="P86" s="209"/>
      <c r="Q86" s="209"/>
      <c r="R86" s="210"/>
      <c r="S86" s="208" t="str">
        <f t="shared" si="4"/>
        <v>0</v>
      </c>
      <c r="T86" s="209"/>
      <c r="U86" s="209"/>
      <c r="V86" s="209"/>
      <c r="W86" s="209"/>
      <c r="X86" s="210"/>
      <c r="Y86" s="208" t="str">
        <f t="shared" si="5"/>
        <v>0</v>
      </c>
      <c r="Z86" s="209"/>
      <c r="AA86" s="209"/>
      <c r="AB86" s="209"/>
      <c r="AC86" s="209"/>
      <c r="AD86" s="210"/>
      <c r="AE86" s="208" t="str">
        <f t="shared" si="6"/>
        <v>0</v>
      </c>
      <c r="AF86" s="209"/>
      <c r="AG86" s="209"/>
      <c r="AH86" s="209"/>
      <c r="AI86" s="209"/>
      <c r="AJ86" s="210"/>
      <c r="AK86" s="208" t="str">
        <f t="shared" si="7"/>
        <v>0</v>
      </c>
      <c r="AL86" s="209"/>
      <c r="AM86" s="209"/>
      <c r="AN86" s="209"/>
      <c r="AO86" s="209"/>
      <c r="AP86" s="210"/>
      <c r="AQ86" s="208" t="str">
        <f t="shared" si="8"/>
        <v>0</v>
      </c>
      <c r="AR86" s="209"/>
      <c r="AS86" s="209"/>
      <c r="AT86" s="209"/>
      <c r="AU86" s="209"/>
      <c r="AV86" s="210"/>
      <c r="AW86" s="208" t="str">
        <f t="shared" si="9"/>
        <v>0</v>
      </c>
      <c r="AX86" s="209"/>
      <c r="AY86" s="209"/>
      <c r="AZ86" s="209"/>
      <c r="BA86" s="209"/>
      <c r="BB86" s="210"/>
      <c r="BC86" s="208" t="str">
        <f t="shared" si="10"/>
        <v>0</v>
      </c>
      <c r="BD86" s="209"/>
      <c r="BE86" s="209"/>
      <c r="BF86" s="209"/>
      <c r="BG86" s="209"/>
      <c r="BH86" s="210"/>
      <c r="BI86" s="208" t="str">
        <f t="shared" si="11"/>
        <v>0</v>
      </c>
      <c r="BJ86" s="209"/>
      <c r="BK86" s="209"/>
      <c r="BL86" s="209"/>
      <c r="BM86" s="209"/>
      <c r="BN86" s="210"/>
      <c r="BO86" s="208" t="str">
        <f t="shared" si="12"/>
        <v>0</v>
      </c>
      <c r="BP86" s="209"/>
      <c r="BQ86" s="209"/>
      <c r="BR86" s="209"/>
      <c r="BS86" s="209"/>
      <c r="BT86" s="210"/>
      <c r="BU86" s="208" t="str">
        <f t="shared" si="13"/>
        <v>0</v>
      </c>
      <c r="BV86" s="209"/>
      <c r="BW86" s="209"/>
      <c r="BX86" s="209"/>
      <c r="BY86" s="209"/>
      <c r="BZ86" s="210"/>
      <c r="CA86" s="208" t="str">
        <f t="shared" si="14"/>
        <v>0</v>
      </c>
      <c r="CB86" s="209"/>
      <c r="CC86" s="209"/>
      <c r="CD86" s="209"/>
      <c r="CE86" s="209"/>
      <c r="CF86" s="210"/>
      <c r="CG86" s="208" t="str">
        <f t="shared" si="15"/>
        <v>0</v>
      </c>
      <c r="CH86" s="209"/>
      <c r="CI86" s="209"/>
      <c r="CJ86" s="209"/>
      <c r="CK86" s="209"/>
      <c r="CL86" s="210"/>
      <c r="CM86" s="208" t="str">
        <f t="shared" si="16"/>
        <v>0</v>
      </c>
      <c r="CN86" s="209"/>
      <c r="CO86" s="209"/>
      <c r="CP86" s="209"/>
      <c r="CQ86" s="209"/>
      <c r="CR86" s="210"/>
      <c r="CS86" s="208" t="str">
        <f t="shared" si="17"/>
        <v>0</v>
      </c>
      <c r="CT86" s="209"/>
      <c r="CU86" s="209"/>
      <c r="CV86" s="209"/>
      <c r="CW86" s="209"/>
      <c r="CX86" s="210"/>
      <c r="CY86" s="70"/>
    </row>
    <row r="87" spans="2:110" s="46" customFormat="1" ht="23.25" hidden="1" customHeight="1" x14ac:dyDescent="0.25">
      <c r="B87" s="78"/>
      <c r="C87" s="78"/>
      <c r="D87" s="43">
        <f t="shared" si="2"/>
        <v>0</v>
      </c>
      <c r="E87" s="44"/>
      <c r="F87" s="216"/>
      <c r="G87" s="231"/>
      <c r="H87" s="231"/>
      <c r="I87" s="231"/>
      <c r="J87" s="231"/>
      <c r="K87" s="231"/>
      <c r="L87" s="217"/>
      <c r="M87" s="208" t="str">
        <f t="shared" si="3"/>
        <v>0</v>
      </c>
      <c r="N87" s="209"/>
      <c r="O87" s="209"/>
      <c r="P87" s="209"/>
      <c r="Q87" s="209"/>
      <c r="R87" s="210"/>
      <c r="S87" s="208" t="str">
        <f t="shared" si="4"/>
        <v>0</v>
      </c>
      <c r="T87" s="209"/>
      <c r="U87" s="209"/>
      <c r="V87" s="209"/>
      <c r="W87" s="209"/>
      <c r="X87" s="210"/>
      <c r="Y87" s="208" t="str">
        <f t="shared" si="5"/>
        <v>0</v>
      </c>
      <c r="Z87" s="209"/>
      <c r="AA87" s="209"/>
      <c r="AB87" s="209"/>
      <c r="AC87" s="209"/>
      <c r="AD87" s="210"/>
      <c r="AE87" s="208" t="str">
        <f t="shared" si="6"/>
        <v>0</v>
      </c>
      <c r="AF87" s="209"/>
      <c r="AG87" s="209"/>
      <c r="AH87" s="209"/>
      <c r="AI87" s="209"/>
      <c r="AJ87" s="210"/>
      <c r="AK87" s="208" t="str">
        <f t="shared" si="7"/>
        <v>0</v>
      </c>
      <c r="AL87" s="209"/>
      <c r="AM87" s="209"/>
      <c r="AN87" s="209"/>
      <c r="AO87" s="209"/>
      <c r="AP87" s="210"/>
      <c r="AQ87" s="208" t="str">
        <f t="shared" si="8"/>
        <v>0</v>
      </c>
      <c r="AR87" s="209"/>
      <c r="AS87" s="209"/>
      <c r="AT87" s="209"/>
      <c r="AU87" s="209"/>
      <c r="AV87" s="210"/>
      <c r="AW87" s="208" t="str">
        <f t="shared" si="9"/>
        <v>0</v>
      </c>
      <c r="AX87" s="209"/>
      <c r="AY87" s="209"/>
      <c r="AZ87" s="209"/>
      <c r="BA87" s="209"/>
      <c r="BB87" s="210"/>
      <c r="BC87" s="208" t="str">
        <f t="shared" si="10"/>
        <v>0</v>
      </c>
      <c r="BD87" s="209"/>
      <c r="BE87" s="209"/>
      <c r="BF87" s="209"/>
      <c r="BG87" s="209"/>
      <c r="BH87" s="210"/>
      <c r="BI87" s="208" t="str">
        <f t="shared" si="11"/>
        <v>0</v>
      </c>
      <c r="BJ87" s="209"/>
      <c r="BK87" s="209"/>
      <c r="BL87" s="209"/>
      <c r="BM87" s="209"/>
      <c r="BN87" s="210"/>
      <c r="BO87" s="208" t="str">
        <f t="shared" si="12"/>
        <v>0</v>
      </c>
      <c r="BP87" s="209"/>
      <c r="BQ87" s="209"/>
      <c r="BR87" s="209"/>
      <c r="BS87" s="209"/>
      <c r="BT87" s="210"/>
      <c r="BU87" s="208" t="str">
        <f t="shared" si="13"/>
        <v>0</v>
      </c>
      <c r="BV87" s="209"/>
      <c r="BW87" s="209"/>
      <c r="BX87" s="209"/>
      <c r="BY87" s="209"/>
      <c r="BZ87" s="210"/>
      <c r="CA87" s="208" t="str">
        <f t="shared" si="14"/>
        <v>0</v>
      </c>
      <c r="CB87" s="209"/>
      <c r="CC87" s="209"/>
      <c r="CD87" s="209"/>
      <c r="CE87" s="209"/>
      <c r="CF87" s="210"/>
      <c r="CG87" s="208" t="str">
        <f t="shared" si="15"/>
        <v>0</v>
      </c>
      <c r="CH87" s="209"/>
      <c r="CI87" s="209"/>
      <c r="CJ87" s="209"/>
      <c r="CK87" s="209"/>
      <c r="CL87" s="210"/>
      <c r="CM87" s="208" t="str">
        <f t="shared" si="16"/>
        <v>0</v>
      </c>
      <c r="CN87" s="209"/>
      <c r="CO87" s="209"/>
      <c r="CP87" s="209"/>
      <c r="CQ87" s="209"/>
      <c r="CR87" s="210"/>
      <c r="CS87" s="208" t="str">
        <f t="shared" si="17"/>
        <v>0</v>
      </c>
      <c r="CT87" s="209"/>
      <c r="CU87" s="209"/>
      <c r="CV87" s="209"/>
      <c r="CW87" s="209"/>
      <c r="CX87" s="210"/>
      <c r="CY87" s="70"/>
    </row>
    <row r="88" spans="2:110" s="46" customFormat="1" ht="23.25" hidden="1" customHeight="1" x14ac:dyDescent="0.25">
      <c r="B88" s="78"/>
      <c r="C88" s="78"/>
      <c r="D88" s="43">
        <f t="shared" si="2"/>
        <v>0</v>
      </c>
      <c r="E88" s="44"/>
      <c r="F88" s="216"/>
      <c r="G88" s="231"/>
      <c r="H88" s="231"/>
      <c r="I88" s="231"/>
      <c r="J88" s="231"/>
      <c r="K88" s="231"/>
      <c r="L88" s="217"/>
      <c r="M88" s="208" t="str">
        <f t="shared" si="3"/>
        <v>0</v>
      </c>
      <c r="N88" s="223"/>
      <c r="O88" s="223"/>
      <c r="P88" s="223"/>
      <c r="Q88" s="223"/>
      <c r="R88" s="224"/>
      <c r="S88" s="208" t="str">
        <f t="shared" si="4"/>
        <v>0</v>
      </c>
      <c r="T88" s="223"/>
      <c r="U88" s="223"/>
      <c r="V88" s="223"/>
      <c r="W88" s="223"/>
      <c r="X88" s="224"/>
      <c r="Y88" s="208" t="str">
        <f t="shared" si="5"/>
        <v>0</v>
      </c>
      <c r="Z88" s="223"/>
      <c r="AA88" s="223"/>
      <c r="AB88" s="223"/>
      <c r="AC88" s="223"/>
      <c r="AD88" s="224"/>
      <c r="AE88" s="208" t="str">
        <f t="shared" si="6"/>
        <v>0</v>
      </c>
      <c r="AF88" s="223"/>
      <c r="AG88" s="223"/>
      <c r="AH88" s="223"/>
      <c r="AI88" s="223"/>
      <c r="AJ88" s="224"/>
      <c r="AK88" s="208" t="str">
        <f t="shared" si="7"/>
        <v>0</v>
      </c>
      <c r="AL88" s="223"/>
      <c r="AM88" s="223"/>
      <c r="AN88" s="223"/>
      <c r="AO88" s="223"/>
      <c r="AP88" s="224"/>
      <c r="AQ88" s="208" t="str">
        <f t="shared" si="8"/>
        <v>0</v>
      </c>
      <c r="AR88" s="223"/>
      <c r="AS88" s="223"/>
      <c r="AT88" s="223"/>
      <c r="AU88" s="223"/>
      <c r="AV88" s="224"/>
      <c r="AW88" s="208" t="str">
        <f t="shared" si="9"/>
        <v>0</v>
      </c>
      <c r="AX88" s="223"/>
      <c r="AY88" s="223"/>
      <c r="AZ88" s="223"/>
      <c r="BA88" s="223"/>
      <c r="BB88" s="224"/>
      <c r="BC88" s="208" t="str">
        <f t="shared" si="10"/>
        <v>0</v>
      </c>
      <c r="BD88" s="223"/>
      <c r="BE88" s="223"/>
      <c r="BF88" s="223"/>
      <c r="BG88" s="223"/>
      <c r="BH88" s="224"/>
      <c r="BI88" s="208" t="str">
        <f t="shared" si="11"/>
        <v>0</v>
      </c>
      <c r="BJ88" s="223"/>
      <c r="BK88" s="223"/>
      <c r="BL88" s="223"/>
      <c r="BM88" s="223"/>
      <c r="BN88" s="224"/>
      <c r="BO88" s="208" t="str">
        <f t="shared" si="12"/>
        <v>0</v>
      </c>
      <c r="BP88" s="223"/>
      <c r="BQ88" s="223"/>
      <c r="BR88" s="223"/>
      <c r="BS88" s="223"/>
      <c r="BT88" s="224"/>
      <c r="BU88" s="208" t="str">
        <f t="shared" si="13"/>
        <v>0</v>
      </c>
      <c r="BV88" s="223"/>
      <c r="BW88" s="223"/>
      <c r="BX88" s="223"/>
      <c r="BY88" s="223"/>
      <c r="BZ88" s="224"/>
      <c r="CA88" s="208" t="str">
        <f t="shared" si="14"/>
        <v>0</v>
      </c>
      <c r="CB88" s="223"/>
      <c r="CC88" s="223"/>
      <c r="CD88" s="223"/>
      <c r="CE88" s="223"/>
      <c r="CF88" s="224"/>
      <c r="CG88" s="208" t="str">
        <f t="shared" si="15"/>
        <v>0</v>
      </c>
      <c r="CH88" s="223"/>
      <c r="CI88" s="223"/>
      <c r="CJ88" s="223"/>
      <c r="CK88" s="223"/>
      <c r="CL88" s="224"/>
      <c r="CM88" s="208" t="str">
        <f t="shared" si="16"/>
        <v>0</v>
      </c>
      <c r="CN88" s="223"/>
      <c r="CO88" s="223"/>
      <c r="CP88" s="223"/>
      <c r="CQ88" s="223"/>
      <c r="CR88" s="224"/>
      <c r="CS88" s="208" t="str">
        <f t="shared" si="17"/>
        <v>0</v>
      </c>
      <c r="CT88" s="223"/>
      <c r="CU88" s="223"/>
      <c r="CV88" s="223"/>
      <c r="CW88" s="223"/>
      <c r="CX88" s="224"/>
      <c r="CY88" s="70"/>
    </row>
    <row r="89" spans="2:110" s="46" customFormat="1" ht="23.25" hidden="1" customHeight="1" x14ac:dyDescent="0.25">
      <c r="B89" s="78"/>
      <c r="C89" s="78"/>
      <c r="D89" s="43">
        <f t="shared" si="2"/>
        <v>0</v>
      </c>
      <c r="E89" s="44"/>
      <c r="F89" s="216"/>
      <c r="G89" s="231"/>
      <c r="H89" s="231"/>
      <c r="I89" s="231"/>
      <c r="J89" s="231"/>
      <c r="K89" s="231"/>
      <c r="L89" s="217"/>
      <c r="M89" s="208" t="str">
        <f t="shared" si="3"/>
        <v>0</v>
      </c>
      <c r="N89" s="223"/>
      <c r="O89" s="223"/>
      <c r="P89" s="223"/>
      <c r="Q89" s="223"/>
      <c r="R89" s="224"/>
      <c r="S89" s="208" t="str">
        <f t="shared" si="4"/>
        <v>0</v>
      </c>
      <c r="T89" s="223"/>
      <c r="U89" s="223"/>
      <c r="V89" s="223"/>
      <c r="W89" s="223"/>
      <c r="X89" s="224"/>
      <c r="Y89" s="208" t="str">
        <f t="shared" si="5"/>
        <v>0</v>
      </c>
      <c r="Z89" s="223"/>
      <c r="AA89" s="223"/>
      <c r="AB89" s="223"/>
      <c r="AC89" s="223"/>
      <c r="AD89" s="224"/>
      <c r="AE89" s="208" t="str">
        <f t="shared" si="6"/>
        <v>0</v>
      </c>
      <c r="AF89" s="223"/>
      <c r="AG89" s="223"/>
      <c r="AH89" s="223"/>
      <c r="AI89" s="223"/>
      <c r="AJ89" s="224"/>
      <c r="AK89" s="208" t="str">
        <f t="shared" si="7"/>
        <v>0</v>
      </c>
      <c r="AL89" s="223"/>
      <c r="AM89" s="223"/>
      <c r="AN89" s="223"/>
      <c r="AO89" s="223"/>
      <c r="AP89" s="224"/>
      <c r="AQ89" s="208" t="str">
        <f t="shared" si="8"/>
        <v>0</v>
      </c>
      <c r="AR89" s="223"/>
      <c r="AS89" s="223"/>
      <c r="AT89" s="223"/>
      <c r="AU89" s="223"/>
      <c r="AV89" s="224"/>
      <c r="AW89" s="208" t="str">
        <f t="shared" si="9"/>
        <v>0</v>
      </c>
      <c r="AX89" s="223"/>
      <c r="AY89" s="223"/>
      <c r="AZ89" s="223"/>
      <c r="BA89" s="223"/>
      <c r="BB89" s="224"/>
      <c r="BC89" s="208" t="str">
        <f t="shared" si="10"/>
        <v>0</v>
      </c>
      <c r="BD89" s="223"/>
      <c r="BE89" s="223"/>
      <c r="BF89" s="223"/>
      <c r="BG89" s="223"/>
      <c r="BH89" s="224"/>
      <c r="BI89" s="208" t="str">
        <f t="shared" si="11"/>
        <v>0</v>
      </c>
      <c r="BJ89" s="223"/>
      <c r="BK89" s="223"/>
      <c r="BL89" s="223"/>
      <c r="BM89" s="223"/>
      <c r="BN89" s="224"/>
      <c r="BO89" s="208" t="str">
        <f t="shared" si="12"/>
        <v>0</v>
      </c>
      <c r="BP89" s="223"/>
      <c r="BQ89" s="223"/>
      <c r="BR89" s="223"/>
      <c r="BS89" s="223"/>
      <c r="BT89" s="224"/>
      <c r="BU89" s="208" t="str">
        <f t="shared" si="13"/>
        <v>0</v>
      </c>
      <c r="BV89" s="223"/>
      <c r="BW89" s="223"/>
      <c r="BX89" s="223"/>
      <c r="BY89" s="223"/>
      <c r="BZ89" s="224"/>
      <c r="CA89" s="208" t="str">
        <f t="shared" si="14"/>
        <v>0</v>
      </c>
      <c r="CB89" s="223"/>
      <c r="CC89" s="223"/>
      <c r="CD89" s="223"/>
      <c r="CE89" s="223"/>
      <c r="CF89" s="224"/>
      <c r="CG89" s="208" t="str">
        <f t="shared" si="15"/>
        <v>0</v>
      </c>
      <c r="CH89" s="223"/>
      <c r="CI89" s="223"/>
      <c r="CJ89" s="223"/>
      <c r="CK89" s="223"/>
      <c r="CL89" s="224"/>
      <c r="CM89" s="208" t="str">
        <f t="shared" si="16"/>
        <v>0</v>
      </c>
      <c r="CN89" s="223"/>
      <c r="CO89" s="223"/>
      <c r="CP89" s="223"/>
      <c r="CQ89" s="223"/>
      <c r="CR89" s="224"/>
      <c r="CS89" s="208" t="str">
        <f t="shared" si="17"/>
        <v>0</v>
      </c>
      <c r="CT89" s="223"/>
      <c r="CU89" s="223"/>
      <c r="CV89" s="223"/>
      <c r="CW89" s="223"/>
      <c r="CX89" s="224"/>
      <c r="CY89" s="70"/>
    </row>
    <row r="90" spans="2:110" s="46" customFormat="1" ht="23.25" hidden="1" customHeight="1" x14ac:dyDescent="0.25">
      <c r="B90" s="78"/>
      <c r="C90" s="78"/>
      <c r="D90" s="43">
        <f t="shared" si="2"/>
        <v>0</v>
      </c>
      <c r="E90" s="44"/>
      <c r="F90" s="216"/>
      <c r="G90" s="231"/>
      <c r="H90" s="231"/>
      <c r="I90" s="231"/>
      <c r="J90" s="231"/>
      <c r="K90" s="231"/>
      <c r="L90" s="217"/>
      <c r="M90" s="208" t="str">
        <f t="shared" si="3"/>
        <v>0</v>
      </c>
      <c r="N90" s="223"/>
      <c r="O90" s="223"/>
      <c r="P90" s="223"/>
      <c r="Q90" s="223"/>
      <c r="R90" s="224"/>
      <c r="S90" s="208" t="str">
        <f t="shared" si="4"/>
        <v>0</v>
      </c>
      <c r="T90" s="223"/>
      <c r="U90" s="223"/>
      <c r="V90" s="223"/>
      <c r="W90" s="223"/>
      <c r="X90" s="224"/>
      <c r="Y90" s="208" t="str">
        <f t="shared" si="5"/>
        <v>0</v>
      </c>
      <c r="Z90" s="223"/>
      <c r="AA90" s="223"/>
      <c r="AB90" s="223"/>
      <c r="AC90" s="223"/>
      <c r="AD90" s="224"/>
      <c r="AE90" s="208" t="str">
        <f t="shared" si="6"/>
        <v>0</v>
      </c>
      <c r="AF90" s="223"/>
      <c r="AG90" s="223"/>
      <c r="AH90" s="223"/>
      <c r="AI90" s="223"/>
      <c r="AJ90" s="224"/>
      <c r="AK90" s="208" t="str">
        <f t="shared" si="7"/>
        <v>0</v>
      </c>
      <c r="AL90" s="223"/>
      <c r="AM90" s="223"/>
      <c r="AN90" s="223"/>
      <c r="AO90" s="223"/>
      <c r="AP90" s="224"/>
      <c r="AQ90" s="208" t="str">
        <f t="shared" si="8"/>
        <v>0</v>
      </c>
      <c r="AR90" s="223"/>
      <c r="AS90" s="223"/>
      <c r="AT90" s="223"/>
      <c r="AU90" s="223"/>
      <c r="AV90" s="224"/>
      <c r="AW90" s="208" t="str">
        <f t="shared" si="9"/>
        <v>0</v>
      </c>
      <c r="AX90" s="223"/>
      <c r="AY90" s="223"/>
      <c r="AZ90" s="223"/>
      <c r="BA90" s="223"/>
      <c r="BB90" s="224"/>
      <c r="BC90" s="208" t="str">
        <f t="shared" si="10"/>
        <v>0</v>
      </c>
      <c r="BD90" s="223"/>
      <c r="BE90" s="223"/>
      <c r="BF90" s="223"/>
      <c r="BG90" s="223"/>
      <c r="BH90" s="224"/>
      <c r="BI90" s="208" t="str">
        <f t="shared" si="11"/>
        <v>0</v>
      </c>
      <c r="BJ90" s="223"/>
      <c r="BK90" s="223"/>
      <c r="BL90" s="223"/>
      <c r="BM90" s="223"/>
      <c r="BN90" s="224"/>
      <c r="BO90" s="208" t="str">
        <f t="shared" si="12"/>
        <v>0</v>
      </c>
      <c r="BP90" s="223"/>
      <c r="BQ90" s="223"/>
      <c r="BR90" s="223"/>
      <c r="BS90" s="223"/>
      <c r="BT90" s="224"/>
      <c r="BU90" s="208" t="str">
        <f t="shared" si="13"/>
        <v>0</v>
      </c>
      <c r="BV90" s="223"/>
      <c r="BW90" s="223"/>
      <c r="BX90" s="223"/>
      <c r="BY90" s="223"/>
      <c r="BZ90" s="224"/>
      <c r="CA90" s="208" t="str">
        <f t="shared" si="14"/>
        <v>0</v>
      </c>
      <c r="CB90" s="223"/>
      <c r="CC90" s="223"/>
      <c r="CD90" s="223"/>
      <c r="CE90" s="223"/>
      <c r="CF90" s="224"/>
      <c r="CG90" s="208" t="str">
        <f t="shared" si="15"/>
        <v>0</v>
      </c>
      <c r="CH90" s="223"/>
      <c r="CI90" s="223"/>
      <c r="CJ90" s="223"/>
      <c r="CK90" s="223"/>
      <c r="CL90" s="224"/>
      <c r="CM90" s="208" t="str">
        <f t="shared" si="16"/>
        <v>0</v>
      </c>
      <c r="CN90" s="223"/>
      <c r="CO90" s="223"/>
      <c r="CP90" s="223"/>
      <c r="CQ90" s="223"/>
      <c r="CR90" s="224"/>
      <c r="CS90" s="208" t="str">
        <f t="shared" si="17"/>
        <v>0</v>
      </c>
      <c r="CT90" s="223"/>
      <c r="CU90" s="223"/>
      <c r="CV90" s="223"/>
      <c r="CW90" s="223"/>
      <c r="CX90" s="224"/>
      <c r="CY90" s="70"/>
    </row>
    <row r="91" spans="2:110" s="46" customFormat="1" ht="23.25" hidden="1" customHeight="1" x14ac:dyDescent="0.25">
      <c r="B91" s="78"/>
      <c r="C91" s="78"/>
      <c r="D91" s="43">
        <f t="shared" si="2"/>
        <v>0</v>
      </c>
      <c r="E91" s="44"/>
      <c r="F91" s="216"/>
      <c r="G91" s="231"/>
      <c r="H91" s="231"/>
      <c r="I91" s="231"/>
      <c r="J91" s="231"/>
      <c r="K91" s="231"/>
      <c r="L91" s="217"/>
      <c r="M91" s="208" t="str">
        <f t="shared" si="3"/>
        <v>0</v>
      </c>
      <c r="N91" s="223"/>
      <c r="O91" s="223"/>
      <c r="P91" s="223"/>
      <c r="Q91" s="223"/>
      <c r="R91" s="224"/>
      <c r="S91" s="208" t="str">
        <f t="shared" si="4"/>
        <v>0</v>
      </c>
      <c r="T91" s="223"/>
      <c r="U91" s="223"/>
      <c r="V91" s="223"/>
      <c r="W91" s="223"/>
      <c r="X91" s="224"/>
      <c r="Y91" s="208" t="str">
        <f t="shared" si="5"/>
        <v>0</v>
      </c>
      <c r="Z91" s="223"/>
      <c r="AA91" s="223"/>
      <c r="AB91" s="223"/>
      <c r="AC91" s="223"/>
      <c r="AD91" s="224"/>
      <c r="AE91" s="208" t="str">
        <f t="shared" si="6"/>
        <v>0</v>
      </c>
      <c r="AF91" s="223"/>
      <c r="AG91" s="223"/>
      <c r="AH91" s="223"/>
      <c r="AI91" s="223"/>
      <c r="AJ91" s="224"/>
      <c r="AK91" s="208" t="str">
        <f t="shared" si="7"/>
        <v>0</v>
      </c>
      <c r="AL91" s="223"/>
      <c r="AM91" s="223"/>
      <c r="AN91" s="223"/>
      <c r="AO91" s="223"/>
      <c r="AP91" s="224"/>
      <c r="AQ91" s="208" t="str">
        <f t="shared" si="8"/>
        <v>0</v>
      </c>
      <c r="AR91" s="223"/>
      <c r="AS91" s="223"/>
      <c r="AT91" s="223"/>
      <c r="AU91" s="223"/>
      <c r="AV91" s="224"/>
      <c r="AW91" s="208" t="str">
        <f t="shared" si="9"/>
        <v>0</v>
      </c>
      <c r="AX91" s="223"/>
      <c r="AY91" s="223"/>
      <c r="AZ91" s="223"/>
      <c r="BA91" s="223"/>
      <c r="BB91" s="224"/>
      <c r="BC91" s="208" t="str">
        <f t="shared" si="10"/>
        <v>0</v>
      </c>
      <c r="BD91" s="223"/>
      <c r="BE91" s="223"/>
      <c r="BF91" s="223"/>
      <c r="BG91" s="223"/>
      <c r="BH91" s="224"/>
      <c r="BI91" s="208" t="str">
        <f t="shared" si="11"/>
        <v>0</v>
      </c>
      <c r="BJ91" s="223"/>
      <c r="BK91" s="223"/>
      <c r="BL91" s="223"/>
      <c r="BM91" s="223"/>
      <c r="BN91" s="224"/>
      <c r="BO91" s="208" t="str">
        <f t="shared" si="12"/>
        <v>0</v>
      </c>
      <c r="BP91" s="223"/>
      <c r="BQ91" s="223"/>
      <c r="BR91" s="223"/>
      <c r="BS91" s="223"/>
      <c r="BT91" s="224"/>
      <c r="BU91" s="208" t="str">
        <f t="shared" si="13"/>
        <v>0</v>
      </c>
      <c r="BV91" s="223"/>
      <c r="BW91" s="223"/>
      <c r="BX91" s="223"/>
      <c r="BY91" s="223"/>
      <c r="BZ91" s="224"/>
      <c r="CA91" s="208" t="str">
        <f t="shared" si="14"/>
        <v>0</v>
      </c>
      <c r="CB91" s="223"/>
      <c r="CC91" s="223"/>
      <c r="CD91" s="223"/>
      <c r="CE91" s="223"/>
      <c r="CF91" s="224"/>
      <c r="CG91" s="208" t="str">
        <f t="shared" si="15"/>
        <v>0</v>
      </c>
      <c r="CH91" s="223"/>
      <c r="CI91" s="223"/>
      <c r="CJ91" s="223"/>
      <c r="CK91" s="223"/>
      <c r="CL91" s="224"/>
      <c r="CM91" s="208" t="str">
        <f t="shared" si="16"/>
        <v>0</v>
      </c>
      <c r="CN91" s="223"/>
      <c r="CO91" s="223"/>
      <c r="CP91" s="223"/>
      <c r="CQ91" s="223"/>
      <c r="CR91" s="224"/>
      <c r="CS91" s="208" t="str">
        <f t="shared" si="17"/>
        <v>0</v>
      </c>
      <c r="CT91" s="223"/>
      <c r="CU91" s="223"/>
      <c r="CV91" s="223"/>
      <c r="CW91" s="223"/>
      <c r="CX91" s="224"/>
      <c r="CY91" s="70"/>
    </row>
    <row r="92" spans="2:110" s="46" customFormat="1" ht="23.25" hidden="1" customHeight="1" x14ac:dyDescent="0.2">
      <c r="B92" s="78"/>
      <c r="C92" s="78"/>
      <c r="D92" s="43">
        <f t="shared" si="2"/>
        <v>0</v>
      </c>
      <c r="E92" s="44"/>
      <c r="F92" s="216"/>
      <c r="G92" s="231"/>
      <c r="H92" s="231"/>
      <c r="I92" s="231"/>
      <c r="J92" s="231"/>
      <c r="K92" s="231"/>
      <c r="L92" s="217"/>
      <c r="M92" s="208" t="str">
        <f t="shared" si="3"/>
        <v>0</v>
      </c>
      <c r="N92" s="223"/>
      <c r="O92" s="223"/>
      <c r="P92" s="223"/>
      <c r="Q92" s="223"/>
      <c r="R92" s="224"/>
      <c r="S92" s="208" t="str">
        <f t="shared" si="4"/>
        <v>0</v>
      </c>
      <c r="T92" s="223"/>
      <c r="U92" s="223"/>
      <c r="V92" s="223"/>
      <c r="W92" s="223"/>
      <c r="X92" s="224"/>
      <c r="Y92" s="208" t="str">
        <f t="shared" si="5"/>
        <v>0</v>
      </c>
      <c r="Z92" s="223"/>
      <c r="AA92" s="223"/>
      <c r="AB92" s="223"/>
      <c r="AC92" s="223"/>
      <c r="AD92" s="224"/>
      <c r="AE92" s="208" t="str">
        <f t="shared" si="6"/>
        <v>0</v>
      </c>
      <c r="AF92" s="223"/>
      <c r="AG92" s="223"/>
      <c r="AH92" s="223"/>
      <c r="AI92" s="223"/>
      <c r="AJ92" s="224"/>
      <c r="AK92" s="208" t="str">
        <f t="shared" si="7"/>
        <v>0</v>
      </c>
      <c r="AL92" s="223"/>
      <c r="AM92" s="223"/>
      <c r="AN92" s="223"/>
      <c r="AO92" s="223"/>
      <c r="AP92" s="224"/>
      <c r="AQ92" s="208" t="str">
        <f t="shared" si="8"/>
        <v>0</v>
      </c>
      <c r="AR92" s="223"/>
      <c r="AS92" s="223"/>
      <c r="AT92" s="223"/>
      <c r="AU92" s="223"/>
      <c r="AV92" s="224"/>
      <c r="AW92" s="208" t="str">
        <f t="shared" si="9"/>
        <v>0</v>
      </c>
      <c r="AX92" s="223"/>
      <c r="AY92" s="223"/>
      <c r="AZ92" s="223"/>
      <c r="BA92" s="223"/>
      <c r="BB92" s="224"/>
      <c r="BC92" s="208" t="str">
        <f t="shared" si="10"/>
        <v>0</v>
      </c>
      <c r="BD92" s="223"/>
      <c r="BE92" s="223"/>
      <c r="BF92" s="223"/>
      <c r="BG92" s="223"/>
      <c r="BH92" s="224"/>
      <c r="BI92" s="208" t="str">
        <f t="shared" si="11"/>
        <v>0</v>
      </c>
      <c r="BJ92" s="223"/>
      <c r="BK92" s="223"/>
      <c r="BL92" s="223"/>
      <c r="BM92" s="223"/>
      <c r="BN92" s="224"/>
      <c r="BO92" s="208" t="str">
        <f t="shared" si="12"/>
        <v>0</v>
      </c>
      <c r="BP92" s="223"/>
      <c r="BQ92" s="223"/>
      <c r="BR92" s="223"/>
      <c r="BS92" s="223"/>
      <c r="BT92" s="224"/>
      <c r="BU92" s="208" t="str">
        <f t="shared" si="13"/>
        <v>0</v>
      </c>
      <c r="BV92" s="223"/>
      <c r="BW92" s="223"/>
      <c r="BX92" s="223"/>
      <c r="BY92" s="223"/>
      <c r="BZ92" s="224"/>
      <c r="CA92" s="208" t="str">
        <f t="shared" si="14"/>
        <v>0</v>
      </c>
      <c r="CB92" s="223"/>
      <c r="CC92" s="223"/>
      <c r="CD92" s="223"/>
      <c r="CE92" s="223"/>
      <c r="CF92" s="224"/>
      <c r="CG92" s="208" t="str">
        <f t="shared" si="15"/>
        <v>0</v>
      </c>
      <c r="CH92" s="223"/>
      <c r="CI92" s="223"/>
      <c r="CJ92" s="223"/>
      <c r="CK92" s="223"/>
      <c r="CL92" s="224"/>
      <c r="CM92" s="208" t="str">
        <f t="shared" si="16"/>
        <v>0</v>
      </c>
      <c r="CN92" s="223"/>
      <c r="CO92" s="223"/>
      <c r="CP92" s="223"/>
      <c r="CQ92" s="223"/>
      <c r="CR92" s="224"/>
      <c r="CS92" s="208" t="str">
        <f t="shared" si="17"/>
        <v>0</v>
      </c>
      <c r="CT92" s="223"/>
      <c r="CU92" s="223"/>
      <c r="CV92" s="223"/>
      <c r="CW92" s="223"/>
      <c r="CX92" s="224"/>
      <c r="CY92" s="3"/>
      <c r="CZ92" s="3"/>
      <c r="DA92" s="3"/>
      <c r="DB92" s="3"/>
      <c r="DC92" s="3"/>
      <c r="DD92" s="3"/>
      <c r="DE92" s="3"/>
      <c r="DF92" s="3"/>
    </row>
    <row r="93" spans="2:110" s="46" customFormat="1" ht="23.25" hidden="1" customHeight="1" x14ac:dyDescent="0.2">
      <c r="B93" s="78"/>
      <c r="C93" s="78"/>
      <c r="D93" s="43">
        <f t="shared" si="2"/>
        <v>0</v>
      </c>
      <c r="E93" s="44"/>
      <c r="F93" s="216"/>
      <c r="G93" s="231"/>
      <c r="H93" s="231"/>
      <c r="I93" s="231"/>
      <c r="J93" s="231"/>
      <c r="K93" s="231"/>
      <c r="L93" s="217"/>
      <c r="M93" s="208" t="str">
        <f t="shared" si="3"/>
        <v>0</v>
      </c>
      <c r="N93" s="223"/>
      <c r="O93" s="223"/>
      <c r="P93" s="223"/>
      <c r="Q93" s="223"/>
      <c r="R93" s="224"/>
      <c r="S93" s="208" t="str">
        <f t="shared" si="4"/>
        <v>0</v>
      </c>
      <c r="T93" s="223"/>
      <c r="U93" s="223"/>
      <c r="V93" s="223"/>
      <c r="W93" s="223"/>
      <c r="X93" s="224"/>
      <c r="Y93" s="208" t="str">
        <f t="shared" si="5"/>
        <v>0</v>
      </c>
      <c r="Z93" s="223"/>
      <c r="AA93" s="223"/>
      <c r="AB93" s="223"/>
      <c r="AC93" s="223"/>
      <c r="AD93" s="224"/>
      <c r="AE93" s="208" t="str">
        <f t="shared" si="6"/>
        <v>0</v>
      </c>
      <c r="AF93" s="223"/>
      <c r="AG93" s="223"/>
      <c r="AH93" s="223"/>
      <c r="AI93" s="223"/>
      <c r="AJ93" s="224"/>
      <c r="AK93" s="208" t="str">
        <f t="shared" si="7"/>
        <v>0</v>
      </c>
      <c r="AL93" s="223"/>
      <c r="AM93" s="223"/>
      <c r="AN93" s="223"/>
      <c r="AO93" s="223"/>
      <c r="AP93" s="224"/>
      <c r="AQ93" s="208" t="str">
        <f t="shared" si="8"/>
        <v>0</v>
      </c>
      <c r="AR93" s="223"/>
      <c r="AS93" s="223"/>
      <c r="AT93" s="223"/>
      <c r="AU93" s="223"/>
      <c r="AV93" s="224"/>
      <c r="AW93" s="208" t="str">
        <f t="shared" si="9"/>
        <v>0</v>
      </c>
      <c r="AX93" s="223"/>
      <c r="AY93" s="223"/>
      <c r="AZ93" s="223"/>
      <c r="BA93" s="223"/>
      <c r="BB93" s="224"/>
      <c r="BC93" s="208" t="str">
        <f t="shared" si="10"/>
        <v>0</v>
      </c>
      <c r="BD93" s="223"/>
      <c r="BE93" s="223"/>
      <c r="BF93" s="223"/>
      <c r="BG93" s="223"/>
      <c r="BH93" s="224"/>
      <c r="BI93" s="208" t="str">
        <f t="shared" si="11"/>
        <v>0</v>
      </c>
      <c r="BJ93" s="223"/>
      <c r="BK93" s="223"/>
      <c r="BL93" s="223"/>
      <c r="BM93" s="223"/>
      <c r="BN93" s="224"/>
      <c r="BO93" s="208" t="str">
        <f t="shared" si="12"/>
        <v>0</v>
      </c>
      <c r="BP93" s="223"/>
      <c r="BQ93" s="223"/>
      <c r="BR93" s="223"/>
      <c r="BS93" s="223"/>
      <c r="BT93" s="224"/>
      <c r="BU93" s="208" t="str">
        <f t="shared" si="13"/>
        <v>0</v>
      </c>
      <c r="BV93" s="223"/>
      <c r="BW93" s="223"/>
      <c r="BX93" s="223"/>
      <c r="BY93" s="223"/>
      <c r="BZ93" s="224"/>
      <c r="CA93" s="208" t="str">
        <f t="shared" si="14"/>
        <v>0</v>
      </c>
      <c r="CB93" s="223"/>
      <c r="CC93" s="223"/>
      <c r="CD93" s="223"/>
      <c r="CE93" s="223"/>
      <c r="CF93" s="224"/>
      <c r="CG93" s="208" t="str">
        <f t="shared" si="15"/>
        <v>0</v>
      </c>
      <c r="CH93" s="223"/>
      <c r="CI93" s="223"/>
      <c r="CJ93" s="223"/>
      <c r="CK93" s="223"/>
      <c r="CL93" s="224"/>
      <c r="CM93" s="208" t="str">
        <f t="shared" si="16"/>
        <v>0</v>
      </c>
      <c r="CN93" s="223"/>
      <c r="CO93" s="223"/>
      <c r="CP93" s="223"/>
      <c r="CQ93" s="223"/>
      <c r="CR93" s="224"/>
      <c r="CS93" s="208" t="str">
        <f t="shared" si="17"/>
        <v>0</v>
      </c>
      <c r="CT93" s="223"/>
      <c r="CU93" s="223"/>
      <c r="CV93" s="223"/>
      <c r="CW93" s="223"/>
      <c r="CX93" s="224"/>
      <c r="CY93" s="3"/>
      <c r="CZ93" s="3"/>
      <c r="DA93" s="3"/>
      <c r="DB93" s="3"/>
      <c r="DC93" s="3"/>
      <c r="DD93" s="3"/>
      <c r="DE93" s="3"/>
      <c r="DF93" s="3"/>
    </row>
    <row r="94" spans="2:110" ht="23.25" customHeight="1" x14ac:dyDescent="0.2">
      <c r="B94" s="29"/>
      <c r="C94" s="29"/>
      <c r="D94" s="40"/>
      <c r="E94" s="40"/>
      <c r="F94" s="188"/>
      <c r="G94" s="188"/>
      <c r="H94" s="188"/>
      <c r="I94" s="188"/>
      <c r="J94" s="188"/>
      <c r="K94" s="188"/>
      <c r="L94" s="188"/>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row>
    <row r="95" spans="2:110" ht="23.25" customHeight="1" x14ac:dyDescent="0.25">
      <c r="B95" s="29"/>
      <c r="C95" s="29"/>
      <c r="D95" s="40"/>
      <c r="E95" s="115"/>
      <c r="F95" s="115"/>
      <c r="G95" s="115"/>
      <c r="H95" s="115"/>
      <c r="I95" s="115"/>
      <c r="J95" s="115"/>
      <c r="K95" s="115"/>
      <c r="L95" s="115"/>
      <c r="M95" s="115"/>
      <c r="N95" s="115"/>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row>
    <row r="96" spans="2:110" ht="23.25" customHeight="1" x14ac:dyDescent="0.25">
      <c r="B96" s="29"/>
      <c r="C96" s="29"/>
      <c r="D96" s="40"/>
      <c r="E96" s="115"/>
      <c r="F96" s="115"/>
      <c r="G96" s="115"/>
      <c r="H96" s="115"/>
      <c r="I96" s="115"/>
      <c r="J96" s="115"/>
      <c r="K96" s="115"/>
      <c r="L96" s="115"/>
      <c r="M96" s="115"/>
      <c r="N96" s="115"/>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row>
    <row r="97" spans="2:102" ht="23.25" customHeight="1" x14ac:dyDescent="0.25">
      <c r="B97" s="29"/>
      <c r="C97" s="29"/>
      <c r="D97" s="40"/>
      <c r="E97" s="115"/>
      <c r="F97" s="115"/>
      <c r="G97" s="115"/>
      <c r="H97" s="115"/>
      <c r="I97" s="115"/>
      <c r="J97" s="115"/>
      <c r="K97" s="115"/>
      <c r="L97" s="115"/>
      <c r="M97" s="115"/>
      <c r="N97" s="115"/>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row>
    <row r="98" spans="2:102" ht="23.25" customHeight="1" x14ac:dyDescent="0.25">
      <c r="B98" s="29"/>
      <c r="C98" s="29"/>
      <c r="D98" s="40"/>
      <c r="E98" s="115"/>
      <c r="F98" s="115"/>
      <c r="G98" s="115"/>
      <c r="H98" s="115"/>
      <c r="I98" s="115"/>
      <c r="J98" s="115"/>
      <c r="K98" s="115"/>
      <c r="L98" s="115"/>
      <c r="M98" s="115"/>
      <c r="N98" s="115"/>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row>
    <row r="99" spans="2:102" ht="23.25" customHeight="1" x14ac:dyDescent="0.25">
      <c r="B99" s="29"/>
      <c r="C99" s="29"/>
      <c r="D99" s="40"/>
      <c r="E99" s="115"/>
      <c r="F99" s="115"/>
      <c r="G99" s="115"/>
      <c r="H99" s="115"/>
      <c r="I99" s="115"/>
      <c r="J99" s="115"/>
      <c r="K99" s="115"/>
      <c r="L99" s="115"/>
      <c r="M99" s="115"/>
      <c r="N99" s="115"/>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row>
    <row r="100" spans="2:102" ht="23.25" customHeight="1" x14ac:dyDescent="0.25">
      <c r="B100" s="29"/>
      <c r="C100" s="29"/>
      <c r="D100" s="40"/>
      <c r="E100" s="115"/>
      <c r="F100" s="115"/>
      <c r="G100" s="115"/>
      <c r="H100" s="115"/>
      <c r="I100" s="115"/>
      <c r="J100" s="115"/>
      <c r="K100" s="115"/>
      <c r="L100" s="115"/>
      <c r="M100" s="115"/>
      <c r="N100" s="115"/>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row>
    <row r="101" spans="2:102" ht="23.25" customHeight="1" x14ac:dyDescent="0.25">
      <c r="B101" s="29"/>
      <c r="C101" s="29"/>
      <c r="D101" s="40"/>
      <c r="E101" s="115"/>
      <c r="F101" s="115"/>
      <c r="G101" s="115"/>
      <c r="H101" s="115"/>
      <c r="I101" s="115"/>
      <c r="J101" s="115"/>
      <c r="K101" s="115"/>
      <c r="L101" s="115"/>
      <c r="M101" s="115"/>
      <c r="N101" s="115"/>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row>
    <row r="102" spans="2:102" ht="23.25" customHeight="1" x14ac:dyDescent="0.25">
      <c r="B102" s="29"/>
      <c r="C102" s="29"/>
      <c r="D102" s="40"/>
      <c r="E102" s="115"/>
      <c r="F102" s="115"/>
      <c r="G102" s="115"/>
      <c r="H102" s="115"/>
      <c r="I102" s="115"/>
      <c r="J102" s="115"/>
      <c r="K102" s="115"/>
      <c r="L102" s="115"/>
      <c r="M102" s="115"/>
      <c r="N102" s="115"/>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row>
    <row r="103" spans="2:102" ht="23.25" customHeight="1" x14ac:dyDescent="0.25">
      <c r="B103" s="29"/>
      <c r="C103" s="29"/>
      <c r="D103" s="40"/>
      <c r="E103" s="115"/>
      <c r="F103" s="115"/>
      <c r="G103" s="115"/>
      <c r="H103" s="115"/>
      <c r="I103" s="115"/>
      <c r="J103" s="115"/>
      <c r="K103" s="115"/>
      <c r="L103" s="115"/>
      <c r="M103" s="115"/>
      <c r="N103" s="115"/>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row>
    <row r="104" spans="2:102" ht="23.25" customHeight="1" x14ac:dyDescent="0.25">
      <c r="B104" s="29"/>
      <c r="C104" s="29"/>
      <c r="D104" s="40"/>
      <c r="E104" s="115"/>
      <c r="F104" s="115"/>
      <c r="G104" s="115"/>
      <c r="H104" s="115"/>
      <c r="I104" s="115"/>
      <c r="J104" s="115"/>
      <c r="K104" s="115"/>
      <c r="L104" s="115"/>
      <c r="M104" s="115"/>
      <c r="N104" s="115"/>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row>
    <row r="105" spans="2:102" ht="23.25" customHeight="1" x14ac:dyDescent="0.25">
      <c r="B105" s="29"/>
      <c r="C105" s="29"/>
      <c r="D105" s="40"/>
      <c r="E105" s="115"/>
      <c r="F105" s="115"/>
      <c r="G105" s="115"/>
      <c r="H105" s="115"/>
      <c r="I105" s="115"/>
      <c r="J105" s="115"/>
      <c r="K105" s="115"/>
      <c r="L105" s="115"/>
      <c r="M105" s="115"/>
      <c r="N105" s="115"/>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row>
    <row r="106" spans="2:102" ht="23.25" customHeight="1" x14ac:dyDescent="0.25">
      <c r="B106" s="29"/>
      <c r="C106" s="29"/>
      <c r="D106" s="40"/>
      <c r="E106" s="115"/>
      <c r="F106" s="115"/>
      <c r="G106" s="115"/>
      <c r="H106" s="115"/>
      <c r="I106" s="115"/>
      <c r="J106" s="115"/>
      <c r="K106" s="115"/>
      <c r="L106" s="115"/>
      <c r="M106" s="115"/>
      <c r="N106" s="115"/>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row>
    <row r="107" spans="2:102" ht="23.25" customHeight="1" x14ac:dyDescent="0.25">
      <c r="B107" s="29"/>
      <c r="C107" s="29"/>
      <c r="D107" s="40"/>
      <c r="E107" s="115"/>
      <c r="F107" s="115"/>
      <c r="G107" s="115"/>
      <c r="H107" s="115"/>
      <c r="I107" s="115"/>
      <c r="J107" s="115"/>
      <c r="K107" s="115"/>
      <c r="L107" s="115"/>
      <c r="M107" s="115"/>
      <c r="N107" s="115"/>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row>
    <row r="108" spans="2:102" ht="23.25" customHeight="1" x14ac:dyDescent="0.25">
      <c r="B108" s="29"/>
      <c r="C108" s="29"/>
      <c r="D108" s="40"/>
      <c r="E108" s="115"/>
      <c r="F108" s="115"/>
      <c r="G108" s="115"/>
      <c r="H108" s="115"/>
      <c r="I108" s="115"/>
      <c r="J108" s="115"/>
      <c r="K108" s="115"/>
      <c r="L108" s="115"/>
      <c r="M108" s="115"/>
      <c r="N108" s="115"/>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row>
    <row r="109" spans="2:102" ht="23.25" customHeight="1" x14ac:dyDescent="0.25">
      <c r="B109" s="29"/>
      <c r="C109" s="29"/>
      <c r="D109" s="40"/>
      <c r="E109" s="115"/>
      <c r="F109" s="115"/>
      <c r="G109" s="115"/>
      <c r="H109" s="115"/>
      <c r="I109" s="115"/>
      <c r="J109" s="115"/>
      <c r="K109" s="115"/>
      <c r="L109" s="115"/>
      <c r="M109" s="115"/>
      <c r="N109" s="115"/>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row>
    <row r="110" spans="2:102" ht="23.25" customHeight="1" x14ac:dyDescent="0.2">
      <c r="B110" s="29"/>
      <c r="C110" s="29"/>
      <c r="D110" s="40"/>
      <c r="E110" s="40"/>
      <c r="F110" s="188"/>
      <c r="G110" s="188"/>
      <c r="H110" s="188"/>
      <c r="I110" s="188"/>
      <c r="J110" s="188"/>
      <c r="K110" s="188"/>
      <c r="L110" s="188"/>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row>
    <row r="111" spans="2:102" ht="23.25" customHeight="1" x14ac:dyDescent="0.2">
      <c r="B111" s="29"/>
      <c r="C111" s="29"/>
      <c r="D111" s="40"/>
      <c r="E111" s="40"/>
      <c r="F111" s="188"/>
      <c r="G111" s="188"/>
      <c r="H111" s="188"/>
      <c r="I111" s="188"/>
      <c r="J111" s="188"/>
      <c r="K111" s="188"/>
      <c r="L111" s="188"/>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row>
    <row r="112" spans="2:102" ht="23.25" customHeight="1" x14ac:dyDescent="0.2">
      <c r="B112" s="29"/>
      <c r="C112" s="29"/>
      <c r="D112" s="40"/>
      <c r="E112" s="40"/>
      <c r="F112" s="188"/>
      <c r="G112" s="188"/>
      <c r="H112" s="188"/>
      <c r="I112" s="188"/>
      <c r="J112" s="188"/>
      <c r="K112" s="188"/>
      <c r="L112" s="188"/>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row>
    <row r="113" spans="2:102" ht="23.25" customHeight="1" x14ac:dyDescent="0.2">
      <c r="B113" s="29"/>
      <c r="C113" s="29"/>
      <c r="D113" s="40"/>
      <c r="E113" s="40"/>
      <c r="F113" s="188"/>
      <c r="G113" s="188"/>
      <c r="H113" s="188"/>
      <c r="I113" s="188"/>
      <c r="J113" s="188"/>
      <c r="K113" s="188"/>
      <c r="L113" s="188"/>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row>
    <row r="114" spans="2:102" ht="23.25" customHeight="1" x14ac:dyDescent="0.2">
      <c r="B114" s="29"/>
      <c r="C114" s="29"/>
      <c r="D114" s="40"/>
      <c r="E114" s="40"/>
      <c r="F114" s="188"/>
      <c r="G114" s="188"/>
      <c r="H114" s="188"/>
      <c r="I114" s="188"/>
      <c r="J114" s="188"/>
      <c r="K114" s="188"/>
      <c r="L114" s="188"/>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row>
    <row r="115" spans="2:102" ht="23.25" customHeight="1" x14ac:dyDescent="0.2">
      <c r="B115" s="29"/>
      <c r="C115" s="29"/>
      <c r="D115" s="40"/>
      <c r="E115" s="40"/>
      <c r="F115" s="188"/>
      <c r="G115" s="188"/>
      <c r="H115" s="188"/>
      <c r="I115" s="188"/>
      <c r="J115" s="188"/>
      <c r="K115" s="188"/>
      <c r="L115" s="188"/>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row>
    <row r="116" spans="2:102" ht="23.25" customHeight="1" x14ac:dyDescent="0.2">
      <c r="B116" s="29"/>
      <c r="C116" s="29"/>
      <c r="D116" s="40"/>
      <c r="E116" s="40"/>
      <c r="F116" s="188"/>
      <c r="G116" s="188"/>
      <c r="H116" s="188"/>
      <c r="I116" s="188"/>
      <c r="J116" s="188"/>
      <c r="K116" s="188"/>
      <c r="L116" s="188"/>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row>
    <row r="117" spans="2:102" ht="23.25" customHeight="1" x14ac:dyDescent="0.2">
      <c r="B117" s="29"/>
      <c r="C117" s="29"/>
      <c r="D117" s="40"/>
      <c r="E117" s="40"/>
      <c r="F117" s="188"/>
      <c r="G117" s="188"/>
      <c r="H117" s="188"/>
      <c r="I117" s="188"/>
      <c r="J117" s="188"/>
      <c r="K117" s="188"/>
      <c r="L117" s="188"/>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row>
    <row r="118" spans="2:102" ht="23.25" customHeight="1" x14ac:dyDescent="0.2">
      <c r="B118" s="29"/>
      <c r="C118" s="29"/>
      <c r="D118" s="40"/>
      <c r="E118" s="40"/>
      <c r="F118" s="188"/>
      <c r="G118" s="188"/>
      <c r="H118" s="188"/>
      <c r="I118" s="188"/>
      <c r="J118" s="188"/>
      <c r="K118" s="188"/>
      <c r="L118" s="188"/>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row>
    <row r="119" spans="2:102" ht="23.25" customHeight="1" x14ac:dyDescent="0.2">
      <c r="B119" s="29"/>
      <c r="C119" s="29"/>
      <c r="D119" s="40"/>
      <c r="E119" s="40"/>
      <c r="F119" s="188"/>
      <c r="G119" s="188"/>
      <c r="H119" s="188"/>
      <c r="I119" s="188"/>
      <c r="J119" s="188"/>
      <c r="K119" s="188"/>
      <c r="L119" s="188"/>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row>
    <row r="120" spans="2:102" ht="23.25" customHeight="1" x14ac:dyDescent="0.2">
      <c r="B120" s="29"/>
      <c r="C120" s="29"/>
      <c r="D120" s="40"/>
      <c r="E120" s="40"/>
      <c r="F120" s="188"/>
      <c r="G120" s="188"/>
      <c r="H120" s="188"/>
      <c r="I120" s="188"/>
      <c r="J120" s="188"/>
      <c r="K120" s="188"/>
      <c r="L120" s="188"/>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row>
    <row r="121" spans="2:102" ht="23.25" customHeight="1" x14ac:dyDescent="0.2">
      <c r="B121" s="29"/>
      <c r="C121" s="29"/>
      <c r="D121" s="40"/>
      <c r="E121" s="40"/>
      <c r="F121" s="188"/>
      <c r="G121" s="188"/>
      <c r="H121" s="188"/>
      <c r="I121" s="188"/>
      <c r="J121" s="188"/>
      <c r="K121" s="188"/>
      <c r="L121" s="188"/>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row>
    <row r="122" spans="2:102" ht="23.25" customHeight="1" x14ac:dyDescent="0.2">
      <c r="B122" s="29"/>
      <c r="C122" s="29"/>
      <c r="D122" s="40"/>
      <c r="E122" s="40"/>
      <c r="F122" s="188"/>
      <c r="G122" s="188"/>
      <c r="H122" s="188"/>
      <c r="I122" s="188"/>
      <c r="J122" s="188"/>
      <c r="K122" s="188"/>
      <c r="L122" s="188"/>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row>
    <row r="123" spans="2:102" ht="23.25" customHeight="1" x14ac:dyDescent="0.2">
      <c r="B123" s="29"/>
      <c r="C123" s="29"/>
      <c r="D123" s="40"/>
      <c r="E123" s="40"/>
      <c r="F123" s="188"/>
      <c r="G123" s="188"/>
      <c r="H123" s="188"/>
      <c r="I123" s="188"/>
      <c r="J123" s="188"/>
      <c r="K123" s="188"/>
      <c r="L123" s="188"/>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row>
    <row r="124" spans="2:102" ht="23.25" customHeight="1" x14ac:dyDescent="0.2">
      <c r="B124" s="29"/>
      <c r="C124" s="29"/>
      <c r="D124" s="40"/>
      <c r="E124" s="40"/>
      <c r="F124" s="188"/>
      <c r="G124" s="188"/>
      <c r="H124" s="188"/>
      <c r="I124" s="188"/>
      <c r="J124" s="188"/>
      <c r="K124" s="188"/>
      <c r="L124" s="188"/>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row>
    <row r="125" spans="2:102" ht="23.25" customHeight="1" x14ac:dyDescent="0.2">
      <c r="B125" s="29"/>
      <c r="C125" s="29"/>
      <c r="D125" s="40"/>
      <c r="E125" s="40"/>
      <c r="F125" s="188"/>
      <c r="G125" s="188"/>
      <c r="H125" s="188"/>
      <c r="I125" s="188"/>
      <c r="J125" s="188"/>
      <c r="K125" s="188"/>
      <c r="L125" s="188"/>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row>
    <row r="126" spans="2:102" ht="23.25" customHeight="1" x14ac:dyDescent="0.2">
      <c r="B126" s="29"/>
      <c r="C126" s="29"/>
      <c r="D126" s="40"/>
      <c r="E126" s="40"/>
      <c r="F126" s="188"/>
      <c r="G126" s="188"/>
      <c r="H126" s="188"/>
      <c r="I126" s="188"/>
      <c r="J126" s="188"/>
      <c r="K126" s="188"/>
      <c r="L126" s="188"/>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row>
    <row r="127" spans="2:102" ht="23.25" customHeight="1" x14ac:dyDescent="0.2">
      <c r="B127" s="29"/>
      <c r="C127" s="29"/>
      <c r="D127" s="40"/>
      <c r="E127" s="40"/>
      <c r="F127" s="188"/>
      <c r="G127" s="188"/>
      <c r="H127" s="188"/>
      <c r="I127" s="188"/>
      <c r="J127" s="188"/>
      <c r="K127" s="188"/>
      <c r="L127" s="188"/>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row>
    <row r="128" spans="2:102" ht="23.25" customHeight="1" x14ac:dyDescent="0.2">
      <c r="B128" s="29"/>
      <c r="C128" s="29"/>
      <c r="D128" s="40"/>
      <c r="E128" s="40"/>
      <c r="F128" s="188"/>
      <c r="G128" s="188"/>
      <c r="H128" s="188"/>
      <c r="I128" s="188"/>
      <c r="J128" s="188"/>
      <c r="K128" s="188"/>
      <c r="L128" s="188"/>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row>
    <row r="129" spans="2:102" ht="23.25" customHeight="1" x14ac:dyDescent="0.2">
      <c r="B129" s="29"/>
      <c r="C129" s="29"/>
      <c r="D129" s="40"/>
      <c r="E129" s="40"/>
      <c r="F129" s="188"/>
      <c r="G129" s="188"/>
      <c r="H129" s="188"/>
      <c r="I129" s="188"/>
      <c r="J129" s="188"/>
      <c r="K129" s="188"/>
      <c r="L129" s="188"/>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row>
    <row r="130" spans="2:102" ht="23.25" customHeight="1" x14ac:dyDescent="0.2">
      <c r="B130" s="29"/>
      <c r="C130" s="29"/>
      <c r="D130" s="40"/>
      <c r="E130" s="40"/>
      <c r="F130" s="188"/>
      <c r="G130" s="188"/>
      <c r="H130" s="188"/>
      <c r="I130" s="188"/>
      <c r="J130" s="188"/>
      <c r="K130" s="188"/>
      <c r="L130" s="188"/>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row>
    <row r="131" spans="2:102" ht="23.25" customHeight="1" x14ac:dyDescent="0.2">
      <c r="B131" s="29"/>
      <c r="C131" s="29"/>
      <c r="D131" s="40"/>
      <c r="E131" s="40"/>
      <c r="F131" s="188"/>
      <c r="G131" s="188"/>
      <c r="H131" s="188"/>
      <c r="I131" s="188"/>
      <c r="J131" s="188"/>
      <c r="K131" s="188"/>
      <c r="L131" s="188"/>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row>
    <row r="132" spans="2:102" ht="23.25" customHeight="1" x14ac:dyDescent="0.2">
      <c r="B132" s="29"/>
      <c r="C132" s="29"/>
      <c r="D132" s="40"/>
      <c r="E132" s="40"/>
      <c r="F132" s="188"/>
      <c r="G132" s="188"/>
      <c r="H132" s="188"/>
      <c r="I132" s="188"/>
      <c r="J132" s="188"/>
      <c r="K132" s="188"/>
      <c r="L132" s="188"/>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row>
    <row r="133" spans="2:102" ht="23.25" customHeight="1" x14ac:dyDescent="0.2">
      <c r="B133" s="29"/>
      <c r="C133" s="29"/>
      <c r="D133" s="40"/>
      <c r="E133" s="40"/>
      <c r="F133" s="188"/>
      <c r="G133" s="188"/>
      <c r="H133" s="188"/>
      <c r="I133" s="188"/>
      <c r="J133" s="188"/>
      <c r="K133" s="188"/>
      <c r="L133" s="188"/>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row>
    <row r="134" spans="2:102" ht="23.25" customHeight="1" x14ac:dyDescent="0.2">
      <c r="B134" s="29"/>
      <c r="C134" s="29"/>
      <c r="D134" s="40"/>
      <c r="E134" s="40"/>
      <c r="F134" s="188"/>
      <c r="G134" s="188"/>
      <c r="H134" s="188"/>
      <c r="I134" s="188"/>
      <c r="J134" s="188"/>
      <c r="K134" s="188"/>
      <c r="L134" s="188"/>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row>
    <row r="135" spans="2:102" ht="23.25" customHeight="1" x14ac:dyDescent="0.2">
      <c r="B135" s="29"/>
      <c r="C135" s="29"/>
      <c r="D135" s="40"/>
      <c r="E135" s="40"/>
      <c r="F135" s="188"/>
      <c r="G135" s="188"/>
      <c r="H135" s="188"/>
      <c r="I135" s="188"/>
      <c r="J135" s="188"/>
      <c r="K135" s="188"/>
      <c r="L135" s="188"/>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row>
    <row r="136" spans="2:102" ht="23.25" customHeight="1" x14ac:dyDescent="0.2">
      <c r="B136" s="29"/>
      <c r="C136" s="29"/>
      <c r="D136" s="40"/>
      <c r="E136" s="40"/>
      <c r="F136" s="188"/>
      <c r="G136" s="188"/>
      <c r="H136" s="188"/>
      <c r="I136" s="188"/>
      <c r="J136" s="188"/>
      <c r="K136" s="188"/>
      <c r="L136" s="188"/>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row>
    <row r="137" spans="2:102" ht="23.25" customHeight="1" x14ac:dyDescent="0.2">
      <c r="B137" s="29"/>
      <c r="C137" s="29"/>
      <c r="D137" s="40"/>
      <c r="E137" s="40"/>
      <c r="F137" s="188"/>
      <c r="G137" s="188"/>
      <c r="H137" s="188"/>
      <c r="I137" s="188"/>
      <c r="J137" s="188"/>
      <c r="K137" s="188"/>
      <c r="L137" s="188"/>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row>
    <row r="138" spans="2:102" ht="23.25" customHeight="1" x14ac:dyDescent="0.2">
      <c r="B138" s="29"/>
      <c r="C138" s="29"/>
      <c r="D138" s="40"/>
      <c r="E138" s="40"/>
      <c r="F138" s="188"/>
      <c r="G138" s="188"/>
      <c r="H138" s="188"/>
      <c r="I138" s="188"/>
      <c r="J138" s="188"/>
      <c r="K138" s="188"/>
      <c r="L138" s="188"/>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row>
    <row r="139" spans="2:102" ht="23.25" customHeight="1" x14ac:dyDescent="0.2">
      <c r="B139" s="29"/>
      <c r="C139" s="29"/>
      <c r="D139" s="40"/>
      <c r="E139" s="40"/>
      <c r="F139" s="188"/>
      <c r="G139" s="188"/>
      <c r="H139" s="188"/>
      <c r="I139" s="188"/>
      <c r="J139" s="188"/>
      <c r="K139" s="188"/>
      <c r="L139" s="188"/>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row>
    <row r="140" spans="2:102" ht="23.25" customHeight="1" x14ac:dyDescent="0.2">
      <c r="B140" s="29"/>
      <c r="C140" s="29"/>
      <c r="D140" s="40"/>
      <c r="E140" s="40"/>
      <c r="F140" s="188"/>
      <c r="G140" s="188"/>
      <c r="H140" s="188"/>
      <c r="I140" s="188"/>
      <c r="J140" s="188"/>
      <c r="K140" s="188"/>
      <c r="L140" s="188"/>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row>
    <row r="141" spans="2:102" ht="23.25" customHeight="1" x14ac:dyDescent="0.2">
      <c r="B141" s="29"/>
      <c r="C141" s="29"/>
      <c r="D141" s="40"/>
      <c r="E141" s="40"/>
      <c r="F141" s="188"/>
      <c r="G141" s="188"/>
      <c r="H141" s="188"/>
      <c r="I141" s="188"/>
      <c r="J141" s="188"/>
      <c r="K141" s="188"/>
      <c r="L141" s="188"/>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row>
    <row r="142" spans="2:102" ht="23.25" customHeight="1" x14ac:dyDescent="0.2">
      <c r="B142" s="29"/>
      <c r="C142" s="29"/>
      <c r="D142" s="40"/>
      <c r="E142" s="40"/>
      <c r="F142" s="188"/>
      <c r="G142" s="188"/>
      <c r="H142" s="188"/>
      <c r="I142" s="188"/>
      <c r="J142" s="188"/>
      <c r="K142" s="188"/>
      <c r="L142" s="188"/>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row>
    <row r="143" spans="2:102" ht="23.25" customHeight="1" x14ac:dyDescent="0.2">
      <c r="B143" s="29"/>
      <c r="C143" s="29"/>
      <c r="D143" s="40"/>
      <c r="E143" s="40"/>
      <c r="F143" s="188"/>
      <c r="G143" s="188"/>
      <c r="H143" s="188"/>
      <c r="I143" s="188"/>
      <c r="J143" s="188"/>
      <c r="K143" s="188"/>
      <c r="L143" s="188"/>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row>
    <row r="144" spans="2:102" ht="23.25" customHeight="1" x14ac:dyDescent="0.2">
      <c r="B144" s="29"/>
      <c r="C144" s="29"/>
      <c r="D144" s="40"/>
      <c r="E144" s="40"/>
      <c r="F144" s="188"/>
      <c r="G144" s="188"/>
      <c r="H144" s="188"/>
      <c r="I144" s="188"/>
      <c r="J144" s="188"/>
      <c r="K144" s="188"/>
      <c r="L144" s="188"/>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row>
    <row r="145" spans="2:102" ht="23.25" customHeight="1" x14ac:dyDescent="0.2">
      <c r="B145" s="29"/>
      <c r="C145" s="29"/>
      <c r="D145" s="40"/>
      <c r="E145" s="40"/>
      <c r="F145" s="188"/>
      <c r="G145" s="188"/>
      <c r="H145" s="188"/>
      <c r="I145" s="188"/>
      <c r="J145" s="188"/>
      <c r="K145" s="188"/>
      <c r="L145" s="188"/>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row>
    <row r="146" spans="2:102" ht="23.25" customHeight="1" x14ac:dyDescent="0.2">
      <c r="B146" s="29"/>
      <c r="C146" s="29"/>
      <c r="D146" s="40"/>
      <c r="E146" s="40"/>
      <c r="F146" s="188"/>
      <c r="G146" s="188"/>
      <c r="H146" s="188"/>
      <c r="I146" s="188"/>
      <c r="J146" s="188"/>
      <c r="K146" s="188"/>
      <c r="L146" s="188"/>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row>
    <row r="147" spans="2:102" ht="23.25" customHeight="1" x14ac:dyDescent="0.2">
      <c r="B147" s="29"/>
      <c r="C147" s="29"/>
      <c r="D147" s="40"/>
      <c r="E147" s="40"/>
      <c r="F147" s="188"/>
      <c r="G147" s="188"/>
      <c r="H147" s="188"/>
      <c r="I147" s="188"/>
      <c r="J147" s="188"/>
      <c r="K147" s="188"/>
      <c r="L147" s="188"/>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row>
    <row r="148" spans="2:102" ht="23.25" customHeight="1" x14ac:dyDescent="0.2">
      <c r="B148" s="29"/>
      <c r="C148" s="29"/>
      <c r="D148" s="40"/>
      <c r="E148" s="40"/>
      <c r="F148" s="188"/>
      <c r="G148" s="188"/>
      <c r="H148" s="188"/>
      <c r="I148" s="188"/>
      <c r="J148" s="188"/>
      <c r="K148" s="188"/>
      <c r="L148" s="188"/>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row>
    <row r="149" spans="2:102" ht="23.25" customHeight="1" x14ac:dyDescent="0.2">
      <c r="B149" s="29"/>
      <c r="C149" s="29"/>
      <c r="D149" s="40"/>
      <c r="E149" s="40"/>
      <c r="F149" s="188"/>
      <c r="G149" s="188"/>
      <c r="H149" s="188"/>
      <c r="I149" s="188"/>
      <c r="J149" s="188"/>
      <c r="K149" s="188"/>
      <c r="L149" s="188"/>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row>
    <row r="150" spans="2:102" ht="23.25" customHeight="1" x14ac:dyDescent="0.2">
      <c r="B150" s="29"/>
      <c r="C150" s="29"/>
      <c r="D150" s="40"/>
      <c r="E150" s="40"/>
      <c r="F150" s="188"/>
      <c r="G150" s="188"/>
      <c r="H150" s="188"/>
      <c r="I150" s="188"/>
      <c r="J150" s="188"/>
      <c r="K150" s="188"/>
      <c r="L150" s="188"/>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row>
    <row r="151" spans="2:102" ht="23.25" customHeight="1" x14ac:dyDescent="0.2">
      <c r="B151" s="29"/>
      <c r="C151" s="29"/>
      <c r="D151" s="40"/>
      <c r="E151" s="40"/>
      <c r="F151" s="188"/>
      <c r="G151" s="188"/>
      <c r="H151" s="188"/>
      <c r="I151" s="188"/>
      <c r="J151" s="188"/>
      <c r="K151" s="188"/>
      <c r="L151" s="188"/>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row>
    <row r="152" spans="2:102" ht="23.25" customHeight="1" x14ac:dyDescent="0.2">
      <c r="B152" s="29"/>
      <c r="C152" s="29"/>
      <c r="D152" s="40"/>
      <c r="E152" s="40"/>
      <c r="F152" s="188"/>
      <c r="G152" s="188"/>
      <c r="H152" s="188"/>
      <c r="I152" s="188"/>
      <c r="J152" s="188"/>
      <c r="K152" s="188"/>
      <c r="L152" s="188"/>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row>
    <row r="153" spans="2:102" ht="23.25" customHeight="1" x14ac:dyDescent="0.2">
      <c r="B153" s="29"/>
      <c r="C153" s="29"/>
      <c r="D153" s="40"/>
      <c r="E153" s="40"/>
      <c r="F153" s="188"/>
      <c r="G153" s="188"/>
      <c r="H153" s="188"/>
      <c r="I153" s="188"/>
      <c r="J153" s="188"/>
      <c r="K153" s="188"/>
      <c r="L153" s="188"/>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row>
    <row r="154" spans="2:102" ht="23.25" customHeight="1" x14ac:dyDescent="0.2">
      <c r="B154" s="29"/>
      <c r="C154" s="29"/>
      <c r="D154" s="40"/>
      <c r="E154" s="40"/>
      <c r="F154" s="188"/>
      <c r="G154" s="188"/>
      <c r="H154" s="188"/>
      <c r="I154" s="188"/>
      <c r="J154" s="188"/>
      <c r="K154" s="188"/>
      <c r="L154" s="188"/>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row>
    <row r="155" spans="2:102" ht="23.25" customHeight="1" x14ac:dyDescent="0.2">
      <c r="B155" s="29"/>
      <c r="C155" s="29"/>
      <c r="D155" s="40"/>
      <c r="E155" s="40"/>
      <c r="F155" s="188"/>
      <c r="G155" s="188"/>
      <c r="H155" s="188"/>
      <c r="I155" s="188"/>
      <c r="J155" s="188"/>
      <c r="K155" s="188"/>
      <c r="L155" s="188"/>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row>
    <row r="156" spans="2:102" ht="23.25" customHeight="1" x14ac:dyDescent="0.2">
      <c r="B156" s="29"/>
      <c r="C156" s="29"/>
      <c r="D156" s="40"/>
      <c r="E156" s="40"/>
      <c r="F156" s="188"/>
      <c r="G156" s="188"/>
      <c r="H156" s="188"/>
      <c r="I156" s="188"/>
      <c r="J156" s="188"/>
      <c r="K156" s="188"/>
      <c r="L156" s="188"/>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row>
    <row r="157" spans="2:102" ht="23.25" customHeight="1" x14ac:dyDescent="0.2">
      <c r="B157" s="29"/>
      <c r="C157" s="29"/>
      <c r="D157" s="40"/>
      <c r="E157" s="40"/>
      <c r="F157" s="188"/>
      <c r="G157" s="188"/>
      <c r="H157" s="188"/>
      <c r="I157" s="188"/>
      <c r="J157" s="188"/>
      <c r="K157" s="188"/>
      <c r="L157" s="188"/>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row>
    <row r="158" spans="2:102" ht="23.25" customHeight="1" x14ac:dyDescent="0.2">
      <c r="B158" s="29"/>
      <c r="C158" s="29"/>
      <c r="D158" s="40"/>
      <c r="E158" s="40"/>
      <c r="F158" s="188"/>
      <c r="G158" s="188"/>
      <c r="H158" s="188"/>
      <c r="I158" s="188"/>
      <c r="J158" s="188"/>
      <c r="K158" s="188"/>
      <c r="L158" s="188"/>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row>
    <row r="159" spans="2:102" ht="23.25" customHeight="1" x14ac:dyDescent="0.2">
      <c r="B159" s="29"/>
      <c r="C159" s="29"/>
      <c r="D159" s="40"/>
      <c r="E159" s="40"/>
      <c r="F159" s="188"/>
      <c r="G159" s="188"/>
      <c r="H159" s="188"/>
      <c r="I159" s="188"/>
      <c r="J159" s="188"/>
      <c r="K159" s="188"/>
      <c r="L159" s="188"/>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row>
    <row r="160" spans="2:102" ht="23.25" customHeight="1" x14ac:dyDescent="0.2">
      <c r="B160" s="29"/>
      <c r="C160" s="29"/>
      <c r="D160" s="40"/>
      <c r="E160" s="40"/>
      <c r="F160" s="188"/>
      <c r="G160" s="188"/>
      <c r="H160" s="188"/>
      <c r="I160" s="188"/>
      <c r="J160" s="188"/>
      <c r="K160" s="188"/>
      <c r="L160" s="188"/>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row>
    <row r="161" spans="2:102" ht="23.25" customHeight="1" x14ac:dyDescent="0.2">
      <c r="B161" s="29"/>
      <c r="C161" s="29"/>
      <c r="D161" s="40"/>
      <c r="E161" s="40"/>
      <c r="F161" s="188"/>
      <c r="G161" s="188"/>
      <c r="H161" s="188"/>
      <c r="I161" s="188"/>
      <c r="J161" s="188"/>
      <c r="K161" s="188"/>
      <c r="L161" s="188"/>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row>
    <row r="162" spans="2:102" ht="23.25" customHeight="1" x14ac:dyDescent="0.2">
      <c r="B162" s="29"/>
      <c r="C162" s="29"/>
      <c r="D162" s="40"/>
      <c r="E162" s="40"/>
      <c r="F162" s="188"/>
      <c r="G162" s="188"/>
      <c r="H162" s="188"/>
      <c r="I162" s="188"/>
      <c r="J162" s="188"/>
      <c r="K162" s="188"/>
      <c r="L162" s="188"/>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row>
    <row r="163" spans="2:102" ht="23.25" customHeight="1" x14ac:dyDescent="0.2">
      <c r="B163" s="29"/>
      <c r="C163" s="29"/>
      <c r="D163" s="40"/>
      <c r="E163" s="40"/>
      <c r="F163" s="188"/>
      <c r="G163" s="188"/>
      <c r="H163" s="188"/>
      <c r="I163" s="188"/>
      <c r="J163" s="188"/>
      <c r="K163" s="188"/>
      <c r="L163" s="188"/>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row>
    <row r="164" spans="2:102" ht="23.25" customHeight="1" x14ac:dyDescent="0.2">
      <c r="B164" s="29"/>
      <c r="C164" s="29"/>
      <c r="D164" s="40"/>
      <c r="E164" s="40"/>
      <c r="F164" s="188"/>
      <c r="G164" s="188"/>
      <c r="H164" s="188"/>
      <c r="I164" s="188"/>
      <c r="J164" s="188"/>
      <c r="K164" s="188"/>
      <c r="L164" s="188"/>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row>
    <row r="165" spans="2:102" ht="23.25" customHeight="1" x14ac:dyDescent="0.2">
      <c r="B165" s="29"/>
      <c r="C165" s="29"/>
      <c r="D165" s="40"/>
      <c r="E165" s="40"/>
      <c r="F165" s="188"/>
      <c r="G165" s="188"/>
      <c r="H165" s="188"/>
      <c r="I165" s="188"/>
      <c r="J165" s="188"/>
      <c r="K165" s="188"/>
      <c r="L165" s="188"/>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row>
    <row r="166" spans="2:102" ht="23.25" customHeight="1" x14ac:dyDescent="0.2">
      <c r="B166" s="29"/>
      <c r="C166" s="29"/>
      <c r="D166" s="40"/>
      <c r="E166" s="40"/>
      <c r="F166" s="188"/>
      <c r="G166" s="188"/>
      <c r="H166" s="188"/>
      <c r="I166" s="188"/>
      <c r="J166" s="188"/>
      <c r="K166" s="188"/>
      <c r="L166" s="188"/>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row>
    <row r="167" spans="2:102" ht="23.25" customHeight="1" x14ac:dyDescent="0.2">
      <c r="B167" s="29"/>
      <c r="C167" s="29"/>
      <c r="D167" s="40"/>
      <c r="E167" s="40"/>
      <c r="F167" s="188"/>
      <c r="G167" s="188"/>
      <c r="H167" s="188"/>
      <c r="I167" s="188"/>
      <c r="J167" s="188"/>
      <c r="K167" s="188"/>
      <c r="L167" s="188"/>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row>
    <row r="168" spans="2:102" ht="23.25" customHeight="1" x14ac:dyDescent="0.2">
      <c r="B168" s="29"/>
      <c r="C168" s="29"/>
      <c r="D168" s="40"/>
      <c r="E168" s="40"/>
      <c r="F168" s="188"/>
      <c r="G168" s="188"/>
      <c r="H168" s="188"/>
      <c r="I168" s="188"/>
      <c r="J168" s="188"/>
      <c r="K168" s="188"/>
      <c r="L168" s="188"/>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row>
    <row r="169" spans="2:102" ht="23.25" customHeight="1" x14ac:dyDescent="0.2">
      <c r="B169" s="29"/>
      <c r="C169" s="29"/>
      <c r="D169" s="40"/>
      <c r="E169" s="40"/>
      <c r="F169" s="188"/>
      <c r="G169" s="188"/>
      <c r="H169" s="188"/>
      <c r="I169" s="188"/>
      <c r="J169" s="188"/>
      <c r="K169" s="188"/>
      <c r="L169" s="188"/>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row>
    <row r="170" spans="2:102" ht="23.25" customHeight="1" x14ac:dyDescent="0.2">
      <c r="B170" s="29"/>
      <c r="C170" s="29"/>
      <c r="D170" s="40"/>
      <c r="E170" s="40"/>
      <c r="F170" s="188"/>
      <c r="G170" s="188"/>
      <c r="H170" s="188"/>
      <c r="I170" s="188"/>
      <c r="J170" s="188"/>
      <c r="K170" s="188"/>
      <c r="L170" s="188"/>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row>
    <row r="171" spans="2:102" ht="23.25" customHeight="1" x14ac:dyDescent="0.2">
      <c r="B171" s="29"/>
      <c r="C171" s="29"/>
      <c r="D171" s="40"/>
      <c r="E171" s="40"/>
      <c r="F171" s="188"/>
      <c r="G171" s="188"/>
      <c r="H171" s="188"/>
      <c r="I171" s="188"/>
      <c r="J171" s="188"/>
      <c r="K171" s="188"/>
      <c r="L171" s="188"/>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row>
    <row r="172" spans="2:102" ht="23.25" customHeight="1" x14ac:dyDescent="0.2">
      <c r="B172" s="29"/>
      <c r="C172" s="29"/>
      <c r="D172" s="40"/>
      <c r="E172" s="40"/>
      <c r="F172" s="188"/>
      <c r="G172" s="188"/>
      <c r="H172" s="188"/>
      <c r="I172" s="188"/>
      <c r="J172" s="188"/>
      <c r="K172" s="188"/>
      <c r="L172" s="188"/>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row>
    <row r="173" spans="2:102" ht="23.25" customHeight="1" x14ac:dyDescent="0.2">
      <c r="B173" s="29"/>
      <c r="C173" s="29"/>
      <c r="D173" s="40"/>
      <c r="E173" s="40"/>
      <c r="F173" s="188"/>
      <c r="G173" s="188"/>
      <c r="H173" s="188"/>
      <c r="I173" s="188"/>
      <c r="J173" s="188"/>
      <c r="K173" s="188"/>
      <c r="L173" s="188"/>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row>
    <row r="174" spans="2:102" ht="23.25" customHeight="1" x14ac:dyDescent="0.2">
      <c r="B174" s="29"/>
      <c r="C174" s="29"/>
      <c r="D174" s="40"/>
      <c r="E174" s="40"/>
      <c r="F174" s="188"/>
      <c r="G174" s="188"/>
      <c r="H174" s="188"/>
      <c r="I174" s="188"/>
      <c r="J174" s="188"/>
      <c r="K174" s="188"/>
      <c r="L174" s="188"/>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row>
    <row r="175" spans="2:102" ht="23.25" customHeight="1" x14ac:dyDescent="0.2">
      <c r="B175" s="29"/>
      <c r="C175" s="29"/>
      <c r="D175" s="40"/>
      <c r="E175" s="40"/>
      <c r="F175" s="188"/>
      <c r="G175" s="188"/>
      <c r="H175" s="188"/>
      <c r="I175" s="188"/>
      <c r="J175" s="188"/>
      <c r="K175" s="188"/>
      <c r="L175" s="188"/>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row>
    <row r="176" spans="2:102" ht="23.25" customHeight="1" x14ac:dyDescent="0.2">
      <c r="B176" s="29"/>
      <c r="C176" s="29"/>
      <c r="D176" s="40"/>
      <c r="E176" s="40"/>
      <c r="F176" s="188"/>
      <c r="G176" s="188"/>
      <c r="H176" s="188"/>
      <c r="I176" s="188"/>
      <c r="J176" s="188"/>
      <c r="K176" s="188"/>
      <c r="L176" s="188"/>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row>
    <row r="177" spans="2:102" ht="23.25" customHeight="1" x14ac:dyDescent="0.2">
      <c r="B177" s="29"/>
      <c r="C177" s="29"/>
      <c r="D177" s="40"/>
      <c r="E177" s="40"/>
      <c r="F177" s="188"/>
      <c r="G177" s="188"/>
      <c r="H177" s="188"/>
      <c r="I177" s="188"/>
      <c r="J177" s="188"/>
      <c r="K177" s="188"/>
      <c r="L177" s="188"/>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row>
    <row r="178" spans="2:102" ht="23.25" customHeight="1" x14ac:dyDescent="0.2">
      <c r="B178" s="29"/>
      <c r="C178" s="29"/>
      <c r="D178" s="40"/>
      <c r="E178" s="40"/>
      <c r="F178" s="188"/>
      <c r="G178" s="188"/>
      <c r="H178" s="188"/>
      <c r="I178" s="188"/>
      <c r="J178" s="188"/>
      <c r="K178" s="188"/>
      <c r="L178" s="188"/>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row>
    <row r="179" spans="2:102" ht="23.25" customHeight="1" x14ac:dyDescent="0.2">
      <c r="B179" s="29"/>
      <c r="C179" s="29"/>
      <c r="D179" s="40"/>
      <c r="E179" s="40"/>
      <c r="F179" s="188"/>
      <c r="G179" s="188"/>
      <c r="H179" s="188"/>
      <c r="I179" s="188"/>
      <c r="J179" s="188"/>
      <c r="K179" s="188"/>
      <c r="L179" s="188"/>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row>
    <row r="180" spans="2:102" ht="23.25" customHeight="1" x14ac:dyDescent="0.2">
      <c r="B180" s="29"/>
      <c r="C180" s="29"/>
      <c r="D180" s="40"/>
      <c r="E180" s="40"/>
      <c r="F180" s="188"/>
      <c r="G180" s="188"/>
      <c r="H180" s="188"/>
      <c r="I180" s="188"/>
      <c r="J180" s="188"/>
      <c r="K180" s="188"/>
      <c r="L180" s="188"/>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row>
    <row r="181" spans="2:102" ht="23.25" customHeight="1" x14ac:dyDescent="0.2">
      <c r="B181" s="29"/>
      <c r="C181" s="29"/>
      <c r="D181" s="40"/>
      <c r="E181" s="40"/>
      <c r="F181" s="188"/>
      <c r="G181" s="188"/>
      <c r="H181" s="188"/>
      <c r="I181" s="188"/>
      <c r="J181" s="188"/>
      <c r="K181" s="188"/>
      <c r="L181" s="188"/>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row>
    <row r="182" spans="2:102" ht="23.25" customHeight="1" x14ac:dyDescent="0.2">
      <c r="B182" s="29"/>
      <c r="C182" s="29"/>
      <c r="D182" s="40"/>
      <c r="E182" s="40"/>
      <c r="F182" s="188"/>
      <c r="G182" s="188"/>
      <c r="H182" s="188"/>
      <c r="I182" s="188"/>
      <c r="J182" s="188"/>
      <c r="K182" s="188"/>
      <c r="L182" s="188"/>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row>
    <row r="183" spans="2:102" ht="23.25" customHeight="1" x14ac:dyDescent="0.2">
      <c r="B183" s="29"/>
      <c r="C183" s="29"/>
      <c r="D183" s="40"/>
      <c r="E183" s="40"/>
      <c r="F183" s="188"/>
      <c r="G183" s="188"/>
      <c r="H183" s="188"/>
      <c r="I183" s="188"/>
      <c r="J183" s="188"/>
      <c r="K183" s="188"/>
      <c r="L183" s="188"/>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row>
    <row r="184" spans="2:102" ht="23.25" customHeight="1" x14ac:dyDescent="0.2">
      <c r="B184" s="29"/>
      <c r="C184" s="29"/>
      <c r="D184" s="40"/>
      <c r="E184" s="40"/>
      <c r="F184" s="188"/>
      <c r="G184" s="188"/>
      <c r="H184" s="188"/>
      <c r="I184" s="188"/>
      <c r="J184" s="188"/>
      <c r="K184" s="188"/>
      <c r="L184" s="188"/>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row>
    <row r="185" spans="2:102" ht="23.25" customHeight="1" x14ac:dyDescent="0.2">
      <c r="B185" s="29"/>
      <c r="C185" s="29"/>
      <c r="D185" s="40"/>
      <c r="E185" s="40"/>
      <c r="F185" s="188"/>
      <c r="G185" s="188"/>
      <c r="H185" s="188"/>
      <c r="I185" s="188"/>
      <c r="J185" s="188"/>
      <c r="K185" s="188"/>
      <c r="L185" s="188"/>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row>
    <row r="186" spans="2:102" ht="23.25" customHeight="1" x14ac:dyDescent="0.2">
      <c r="B186" s="29"/>
      <c r="C186" s="29"/>
      <c r="D186" s="40"/>
      <c r="E186" s="40"/>
      <c r="F186" s="188"/>
      <c r="G186" s="188"/>
      <c r="H186" s="188"/>
      <c r="I186" s="188"/>
      <c r="J186" s="188"/>
      <c r="K186" s="188"/>
      <c r="L186" s="188"/>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row>
    <row r="187" spans="2:102" ht="23.25" customHeight="1" x14ac:dyDescent="0.2">
      <c r="B187" s="29"/>
      <c r="C187" s="29"/>
      <c r="D187" s="40"/>
      <c r="E187" s="40"/>
      <c r="F187" s="188"/>
      <c r="G187" s="188"/>
      <c r="H187" s="188"/>
      <c r="I187" s="188"/>
      <c r="J187" s="188"/>
      <c r="K187" s="188"/>
      <c r="L187" s="188"/>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row>
    <row r="188" spans="2:102" ht="23.25" customHeight="1" x14ac:dyDescent="0.2">
      <c r="B188" s="29"/>
      <c r="C188" s="29"/>
      <c r="D188" s="40"/>
      <c r="E188" s="40"/>
      <c r="F188" s="188"/>
      <c r="G188" s="188"/>
      <c r="H188" s="188"/>
      <c r="I188" s="188"/>
      <c r="J188" s="188"/>
      <c r="K188" s="188"/>
      <c r="L188" s="188"/>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row>
    <row r="189" spans="2:102" ht="23.25" customHeight="1" x14ac:dyDescent="0.2">
      <c r="B189" s="29"/>
      <c r="C189" s="29"/>
      <c r="D189" s="40"/>
      <c r="E189" s="40"/>
      <c r="F189" s="188"/>
      <c r="G189" s="188"/>
      <c r="H189" s="188"/>
      <c r="I189" s="188"/>
      <c r="J189" s="188"/>
      <c r="K189" s="188"/>
      <c r="L189" s="188"/>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row>
    <row r="190" spans="2:102" ht="23.25" customHeight="1" x14ac:dyDescent="0.2">
      <c r="B190" s="29"/>
      <c r="C190" s="29"/>
      <c r="D190" s="40"/>
      <c r="E190" s="40"/>
      <c r="F190" s="188"/>
      <c r="G190" s="188"/>
      <c r="H190" s="188"/>
      <c r="I190" s="188"/>
      <c r="J190" s="188"/>
      <c r="K190" s="188"/>
      <c r="L190" s="188"/>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row>
    <row r="191" spans="2:102" ht="23.25" customHeight="1" x14ac:dyDescent="0.2">
      <c r="B191" s="29"/>
      <c r="C191" s="29"/>
      <c r="D191" s="40"/>
      <c r="E191" s="40"/>
      <c r="F191" s="188"/>
      <c r="G191" s="188"/>
      <c r="H191" s="188"/>
      <c r="I191" s="188"/>
      <c r="J191" s="188"/>
      <c r="K191" s="188"/>
      <c r="L191" s="188"/>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row>
    <row r="192" spans="2:102" ht="23.25" customHeight="1" x14ac:dyDescent="0.2">
      <c r="B192" s="29"/>
      <c r="C192" s="29"/>
      <c r="D192" s="40"/>
      <c r="E192" s="40"/>
      <c r="F192" s="188"/>
      <c r="G192" s="188"/>
      <c r="H192" s="188"/>
      <c r="I192" s="188"/>
      <c r="J192" s="188"/>
      <c r="K192" s="188"/>
      <c r="L192" s="188"/>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row>
    <row r="193" spans="2:102" ht="23.25" customHeight="1" x14ac:dyDescent="0.2">
      <c r="B193" s="29"/>
      <c r="C193" s="29"/>
      <c r="D193" s="40"/>
      <c r="E193" s="40"/>
      <c r="F193" s="188"/>
      <c r="G193" s="188"/>
      <c r="H193" s="188"/>
      <c r="I193" s="188"/>
      <c r="J193" s="188"/>
      <c r="K193" s="188"/>
      <c r="L193" s="188"/>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row>
    <row r="194" spans="2:102" ht="23.25" customHeight="1" x14ac:dyDescent="0.2">
      <c r="B194" s="29"/>
      <c r="C194" s="29"/>
      <c r="D194" s="40"/>
      <c r="E194" s="40"/>
      <c r="F194" s="188"/>
      <c r="G194" s="188"/>
      <c r="H194" s="188"/>
      <c r="I194" s="188"/>
      <c r="J194" s="188"/>
      <c r="K194" s="188"/>
      <c r="L194" s="188"/>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row>
    <row r="195" spans="2:102" ht="23.25" customHeight="1" x14ac:dyDescent="0.2">
      <c r="B195" s="29"/>
      <c r="C195" s="29"/>
      <c r="D195" s="40"/>
      <c r="E195" s="40"/>
      <c r="F195" s="188"/>
      <c r="G195" s="188"/>
      <c r="H195" s="188"/>
      <c r="I195" s="188"/>
      <c r="J195" s="188"/>
      <c r="K195" s="188"/>
      <c r="L195" s="188"/>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row>
    <row r="196" spans="2:102" ht="23.25" customHeight="1" x14ac:dyDescent="0.2">
      <c r="B196" s="29"/>
      <c r="C196" s="29"/>
      <c r="D196" s="40"/>
      <c r="E196" s="40"/>
      <c r="F196" s="188"/>
      <c r="G196" s="188"/>
      <c r="H196" s="188"/>
      <c r="I196" s="188"/>
      <c r="J196" s="188"/>
      <c r="K196" s="188"/>
      <c r="L196" s="188"/>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row>
    <row r="197" spans="2:102" ht="23.25" customHeight="1" x14ac:dyDescent="0.2">
      <c r="B197" s="29"/>
      <c r="C197" s="29"/>
      <c r="D197" s="40"/>
      <c r="E197" s="40"/>
      <c r="F197" s="188"/>
      <c r="G197" s="188"/>
      <c r="H197" s="188"/>
      <c r="I197" s="188"/>
      <c r="J197" s="188"/>
      <c r="K197" s="188"/>
      <c r="L197" s="188"/>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row>
    <row r="198" spans="2:102" ht="23.25" customHeight="1" x14ac:dyDescent="0.2">
      <c r="B198" s="29"/>
      <c r="C198" s="29"/>
      <c r="D198" s="40"/>
      <c r="E198" s="40"/>
      <c r="F198" s="188"/>
      <c r="G198" s="188"/>
      <c r="H198" s="188"/>
      <c r="I198" s="188"/>
      <c r="J198" s="188"/>
      <c r="K198" s="188"/>
      <c r="L198" s="188"/>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row>
    <row r="199" spans="2:102" ht="23.25" customHeight="1" x14ac:dyDescent="0.2">
      <c r="B199" s="29"/>
      <c r="C199" s="29"/>
      <c r="D199" s="40"/>
      <c r="E199" s="40"/>
      <c r="F199" s="188"/>
      <c r="G199" s="188"/>
      <c r="H199" s="188"/>
      <c r="I199" s="188"/>
      <c r="J199" s="188"/>
      <c r="K199" s="188"/>
      <c r="L199" s="188"/>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row>
    <row r="200" spans="2:102" ht="23.25" customHeight="1" x14ac:dyDescent="0.2">
      <c r="B200" s="29"/>
      <c r="C200" s="29"/>
      <c r="D200" s="40"/>
      <c r="E200" s="40"/>
      <c r="F200" s="188"/>
      <c r="G200" s="188"/>
      <c r="H200" s="188"/>
      <c r="I200" s="188"/>
      <c r="J200" s="188"/>
      <c r="K200" s="188"/>
      <c r="L200" s="188"/>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row>
    <row r="201" spans="2:102" ht="23.25" customHeight="1" x14ac:dyDescent="0.2">
      <c r="B201" s="29"/>
      <c r="C201" s="29"/>
      <c r="D201" s="40"/>
      <c r="E201" s="40"/>
      <c r="F201" s="188"/>
      <c r="G201" s="188"/>
      <c r="H201" s="188"/>
      <c r="I201" s="188"/>
      <c r="J201" s="188"/>
      <c r="K201" s="188"/>
      <c r="L201" s="188"/>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row>
    <row r="202" spans="2:102" ht="23.25" customHeight="1" x14ac:dyDescent="0.2">
      <c r="B202" s="29"/>
      <c r="C202" s="29"/>
      <c r="D202" s="40"/>
      <c r="E202" s="40"/>
      <c r="F202" s="188"/>
      <c r="G202" s="188"/>
      <c r="H202" s="188"/>
      <c r="I202" s="188"/>
      <c r="J202" s="188"/>
      <c r="K202" s="188"/>
      <c r="L202" s="188"/>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row>
    <row r="203" spans="2:102" ht="23.25" customHeight="1" x14ac:dyDescent="0.2">
      <c r="B203" s="29"/>
      <c r="C203" s="29"/>
      <c r="D203" s="40"/>
      <c r="E203" s="40"/>
      <c r="F203" s="188"/>
      <c r="G203" s="188"/>
      <c r="H203" s="188"/>
      <c r="I203" s="188"/>
      <c r="J203" s="188"/>
      <c r="K203" s="188"/>
      <c r="L203" s="188"/>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row>
    <row r="204" spans="2:102" ht="23.25" customHeight="1" x14ac:dyDescent="0.2">
      <c r="B204" s="29"/>
      <c r="C204" s="29"/>
      <c r="D204" s="40"/>
      <c r="E204" s="40"/>
      <c r="F204" s="188"/>
      <c r="G204" s="188"/>
      <c r="H204" s="188"/>
      <c r="I204" s="188"/>
      <c r="J204" s="188"/>
      <c r="K204" s="188"/>
      <c r="L204" s="188"/>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row>
    <row r="205" spans="2:102" ht="23.25" customHeight="1" x14ac:dyDescent="0.2">
      <c r="B205" s="29"/>
      <c r="C205" s="29"/>
      <c r="D205" s="40"/>
      <c r="E205" s="40"/>
      <c r="F205" s="188"/>
      <c r="G205" s="188"/>
      <c r="H205" s="188"/>
      <c r="I205" s="188"/>
      <c r="J205" s="188"/>
      <c r="K205" s="188"/>
      <c r="L205" s="188"/>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row>
    <row r="206" spans="2:102" ht="23.25" customHeight="1" x14ac:dyDescent="0.2">
      <c r="B206" s="29"/>
      <c r="C206" s="29"/>
      <c r="D206" s="40"/>
      <c r="E206" s="40"/>
      <c r="F206" s="188"/>
      <c r="G206" s="188"/>
      <c r="H206" s="188"/>
      <c r="I206" s="188"/>
      <c r="J206" s="188"/>
      <c r="K206" s="188"/>
      <c r="L206" s="188"/>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row>
    <row r="207" spans="2:102" ht="23.25" customHeight="1" x14ac:dyDescent="0.2">
      <c r="B207" s="29"/>
      <c r="C207" s="29"/>
      <c r="D207" s="40"/>
      <c r="E207" s="40"/>
      <c r="F207" s="188"/>
      <c r="G207" s="188"/>
      <c r="H207" s="188"/>
      <c r="I207" s="188"/>
      <c r="J207" s="188"/>
      <c r="K207" s="188"/>
      <c r="L207" s="188"/>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row>
    <row r="208" spans="2:102" ht="23.25" customHeight="1" x14ac:dyDescent="0.2">
      <c r="B208" s="29"/>
      <c r="C208" s="29"/>
      <c r="D208" s="40"/>
      <c r="E208" s="40"/>
      <c r="F208" s="188"/>
      <c r="G208" s="188"/>
      <c r="H208" s="188"/>
      <c r="I208" s="188"/>
      <c r="J208" s="188"/>
      <c r="K208" s="188"/>
      <c r="L208" s="188"/>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row>
    <row r="209" spans="2:102" ht="23.25" customHeight="1" x14ac:dyDescent="0.2">
      <c r="B209" s="29"/>
      <c r="C209" s="29"/>
      <c r="D209" s="40"/>
      <c r="E209" s="40"/>
      <c r="F209" s="188"/>
      <c r="G209" s="188"/>
      <c r="H209" s="188"/>
      <c r="I209" s="188"/>
      <c r="J209" s="188"/>
      <c r="K209" s="188"/>
      <c r="L209" s="188"/>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row>
    <row r="210" spans="2:102" ht="23.25" customHeight="1" x14ac:dyDescent="0.2">
      <c r="B210" s="29"/>
      <c r="C210" s="29"/>
      <c r="D210" s="40"/>
      <c r="E210" s="40"/>
      <c r="F210" s="188"/>
      <c r="G210" s="188"/>
      <c r="H210" s="188"/>
      <c r="I210" s="188"/>
      <c r="J210" s="188"/>
      <c r="K210" s="188"/>
      <c r="L210" s="188"/>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row>
    <row r="211" spans="2:102" ht="23.25" customHeight="1" x14ac:dyDescent="0.2">
      <c r="B211" s="29"/>
      <c r="C211" s="29"/>
      <c r="D211" s="40"/>
      <c r="E211" s="40"/>
      <c r="F211" s="188"/>
      <c r="G211" s="188"/>
      <c r="H211" s="188"/>
      <c r="I211" s="188"/>
      <c r="J211" s="188"/>
      <c r="K211" s="188"/>
      <c r="L211" s="188"/>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row>
    <row r="212" spans="2:102" ht="23.25" customHeight="1" x14ac:dyDescent="0.2">
      <c r="B212" s="29"/>
      <c r="C212" s="29"/>
      <c r="D212" s="40"/>
      <c r="E212" s="40"/>
      <c r="F212" s="188"/>
      <c r="G212" s="188"/>
      <c r="H212" s="188"/>
      <c r="I212" s="188"/>
      <c r="J212" s="188"/>
      <c r="K212" s="188"/>
      <c r="L212" s="188"/>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row>
    <row r="213" spans="2:102" ht="23.25" customHeight="1" x14ac:dyDescent="0.2">
      <c r="B213" s="29"/>
      <c r="C213" s="29"/>
      <c r="D213" s="40"/>
      <c r="E213" s="40"/>
      <c r="F213" s="188"/>
      <c r="G213" s="188"/>
      <c r="H213" s="188"/>
      <c r="I213" s="188"/>
      <c r="J213" s="188"/>
      <c r="K213" s="188"/>
      <c r="L213" s="188"/>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row>
    <row r="214" spans="2:102" ht="23.25" customHeight="1" x14ac:dyDescent="0.2">
      <c r="B214" s="29"/>
      <c r="C214" s="29"/>
      <c r="D214" s="40"/>
      <c r="E214" s="40"/>
      <c r="F214" s="188"/>
      <c r="G214" s="188"/>
      <c r="H214" s="188"/>
      <c r="I214" s="188"/>
      <c r="J214" s="188"/>
      <c r="K214" s="188"/>
      <c r="L214" s="188"/>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row>
    <row r="215" spans="2:102" ht="23.25" customHeight="1" x14ac:dyDescent="0.2">
      <c r="B215" s="29"/>
      <c r="C215" s="29"/>
      <c r="D215" s="40"/>
      <c r="E215" s="40"/>
      <c r="F215" s="188"/>
      <c r="G215" s="188"/>
      <c r="H215" s="188"/>
      <c r="I215" s="188"/>
      <c r="J215" s="188"/>
      <c r="K215" s="188"/>
      <c r="L215" s="188"/>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row>
    <row r="216" spans="2:102" ht="23.25" customHeight="1" x14ac:dyDescent="0.2">
      <c r="B216" s="29"/>
      <c r="C216" s="29"/>
      <c r="D216" s="40"/>
      <c r="E216" s="40"/>
      <c r="F216" s="188"/>
      <c r="G216" s="188"/>
      <c r="H216" s="188"/>
      <c r="I216" s="188"/>
      <c r="J216" s="188"/>
      <c r="K216" s="188"/>
      <c r="L216" s="188"/>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row>
    <row r="217" spans="2:102" ht="23.25" customHeight="1" x14ac:dyDescent="0.2">
      <c r="B217" s="29"/>
      <c r="C217" s="29"/>
      <c r="D217" s="40"/>
      <c r="E217" s="40"/>
      <c r="F217" s="188"/>
      <c r="G217" s="188"/>
      <c r="H217" s="188"/>
      <c r="I217" s="188"/>
      <c r="J217" s="188"/>
      <c r="K217" s="188"/>
      <c r="L217" s="188"/>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row>
    <row r="218" spans="2:102" ht="23.25" customHeight="1" x14ac:dyDescent="0.2">
      <c r="B218" s="29"/>
      <c r="C218" s="29"/>
      <c r="D218" s="40"/>
      <c r="E218" s="40"/>
      <c r="F218" s="188"/>
      <c r="G218" s="188"/>
      <c r="H218" s="188"/>
      <c r="I218" s="188"/>
      <c r="J218" s="188"/>
      <c r="K218" s="188"/>
      <c r="L218" s="188"/>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row>
    <row r="219" spans="2:102" ht="23.25" customHeight="1" x14ac:dyDescent="0.2">
      <c r="B219" s="29"/>
      <c r="C219" s="29"/>
      <c r="D219" s="40"/>
      <c r="E219" s="40"/>
      <c r="F219" s="188"/>
      <c r="G219" s="188"/>
      <c r="H219" s="188"/>
      <c r="I219" s="188"/>
      <c r="J219" s="188"/>
      <c r="K219" s="188"/>
      <c r="L219" s="188"/>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row>
    <row r="220" spans="2:102" ht="23.25" customHeight="1" x14ac:dyDescent="0.2">
      <c r="B220" s="29"/>
      <c r="C220" s="29"/>
      <c r="D220" s="40"/>
      <c r="E220" s="40"/>
      <c r="F220" s="188"/>
      <c r="G220" s="188"/>
      <c r="H220" s="188"/>
      <c r="I220" s="188"/>
      <c r="J220" s="188"/>
      <c r="K220" s="188"/>
      <c r="L220" s="188"/>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row>
    <row r="221" spans="2:102" ht="23.25" customHeight="1" x14ac:dyDescent="0.2">
      <c r="B221" s="29"/>
      <c r="C221" s="29"/>
      <c r="D221" s="40"/>
      <c r="E221" s="40"/>
      <c r="F221" s="188"/>
      <c r="G221" s="188"/>
      <c r="H221" s="188"/>
      <c r="I221" s="188"/>
      <c r="J221" s="188"/>
      <c r="K221" s="188"/>
      <c r="L221" s="188"/>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row>
    <row r="222" spans="2:102" ht="23.25" customHeight="1" x14ac:dyDescent="0.2">
      <c r="B222" s="29"/>
      <c r="C222" s="29"/>
      <c r="D222" s="40"/>
      <c r="E222" s="40"/>
      <c r="F222" s="188"/>
      <c r="G222" s="188"/>
      <c r="H222" s="188"/>
      <c r="I222" s="188"/>
      <c r="J222" s="188"/>
      <c r="K222" s="188"/>
      <c r="L222" s="188"/>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row>
    <row r="223" spans="2:102" ht="23.25" customHeight="1" x14ac:dyDescent="0.2">
      <c r="B223" s="29"/>
      <c r="C223" s="29"/>
      <c r="D223" s="40"/>
      <c r="E223" s="40"/>
      <c r="F223" s="188"/>
      <c r="G223" s="188"/>
      <c r="H223" s="188"/>
      <c r="I223" s="188"/>
      <c r="J223" s="188"/>
      <c r="K223" s="188"/>
      <c r="L223" s="188"/>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row>
    <row r="224" spans="2:102" ht="23.25" customHeight="1" x14ac:dyDescent="0.2">
      <c r="B224" s="29"/>
      <c r="C224" s="29"/>
      <c r="D224" s="40"/>
      <c r="E224" s="40"/>
      <c r="F224" s="188"/>
      <c r="G224" s="188"/>
      <c r="H224" s="188"/>
      <c r="I224" s="188"/>
      <c r="J224" s="188"/>
      <c r="K224" s="188"/>
      <c r="L224" s="188"/>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row>
    <row r="225" spans="2:102" ht="23.25" customHeight="1" x14ac:dyDescent="0.2">
      <c r="B225" s="29"/>
      <c r="C225" s="29"/>
      <c r="D225" s="40"/>
      <c r="E225" s="40"/>
      <c r="F225" s="188"/>
      <c r="G225" s="188"/>
      <c r="H225" s="188"/>
      <c r="I225" s="188"/>
      <c r="J225" s="188"/>
      <c r="K225" s="188"/>
      <c r="L225" s="188"/>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row>
    <row r="226" spans="2:102" ht="23.25" customHeight="1" x14ac:dyDescent="0.2">
      <c r="B226" s="29"/>
      <c r="C226" s="29"/>
      <c r="D226" s="40"/>
      <c r="E226" s="40"/>
      <c r="F226" s="188"/>
      <c r="G226" s="188"/>
      <c r="H226" s="188"/>
      <c r="I226" s="188"/>
      <c r="J226" s="188"/>
      <c r="K226" s="188"/>
      <c r="L226" s="188"/>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row>
    <row r="227" spans="2:102" ht="23.25" customHeight="1" x14ac:dyDescent="0.2">
      <c r="B227" s="29"/>
      <c r="C227" s="29"/>
      <c r="D227" s="40"/>
      <c r="E227" s="40"/>
      <c r="F227" s="188"/>
      <c r="G227" s="188"/>
      <c r="H227" s="188"/>
      <c r="I227" s="188"/>
      <c r="J227" s="188"/>
      <c r="K227" s="188"/>
      <c r="L227" s="188"/>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row>
    <row r="228" spans="2:102" ht="23.25" customHeight="1" x14ac:dyDescent="0.2">
      <c r="B228" s="29"/>
      <c r="C228" s="29"/>
      <c r="D228" s="40"/>
      <c r="E228" s="40"/>
      <c r="F228" s="188"/>
      <c r="G228" s="188"/>
      <c r="H228" s="188"/>
      <c r="I228" s="188"/>
      <c r="J228" s="188"/>
      <c r="K228" s="188"/>
      <c r="L228" s="188"/>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row>
    <row r="229" spans="2:102" ht="23.25" customHeight="1" x14ac:dyDescent="0.2">
      <c r="B229" s="29"/>
      <c r="C229" s="29"/>
      <c r="D229" s="40"/>
      <c r="E229" s="40"/>
      <c r="F229" s="188"/>
      <c r="G229" s="188"/>
      <c r="H229" s="188"/>
      <c r="I229" s="188"/>
      <c r="J229" s="188"/>
      <c r="K229" s="188"/>
      <c r="L229" s="188"/>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row>
    <row r="230" spans="2:102" ht="23.25" customHeight="1" x14ac:dyDescent="0.2">
      <c r="B230" s="29"/>
      <c r="C230" s="29"/>
      <c r="D230" s="40"/>
      <c r="E230" s="40"/>
      <c r="F230" s="188"/>
      <c r="G230" s="188"/>
      <c r="H230" s="188"/>
      <c r="I230" s="188"/>
      <c r="J230" s="188"/>
      <c r="K230" s="188"/>
      <c r="L230" s="188"/>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row>
    <row r="231" spans="2:102" ht="23.25" customHeight="1" x14ac:dyDescent="0.2">
      <c r="B231" s="29"/>
      <c r="C231" s="29"/>
      <c r="D231" s="40"/>
      <c r="E231" s="40"/>
      <c r="F231" s="188"/>
      <c r="G231" s="188"/>
      <c r="H231" s="188"/>
      <c r="I231" s="188"/>
      <c r="J231" s="188"/>
      <c r="K231" s="188"/>
      <c r="L231" s="188"/>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row>
    <row r="232" spans="2:102" ht="23.25" customHeight="1" x14ac:dyDescent="0.2">
      <c r="B232" s="29"/>
      <c r="C232" s="29"/>
      <c r="D232" s="40"/>
      <c r="E232" s="40"/>
      <c r="F232" s="188"/>
      <c r="G232" s="188"/>
      <c r="H232" s="188"/>
      <c r="I232" s="188"/>
      <c r="J232" s="188"/>
      <c r="K232" s="188"/>
      <c r="L232" s="188"/>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row>
    <row r="233" spans="2:102" ht="23.25" customHeight="1" x14ac:dyDescent="0.2">
      <c r="B233" s="29"/>
      <c r="C233" s="29"/>
      <c r="D233" s="40"/>
      <c r="E233" s="40"/>
      <c r="F233" s="188"/>
      <c r="G233" s="188"/>
      <c r="H233" s="188"/>
      <c r="I233" s="188"/>
      <c r="J233" s="188"/>
      <c r="K233" s="188"/>
      <c r="L233" s="188"/>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row>
    <row r="234" spans="2:102" ht="23.25" customHeight="1" x14ac:dyDescent="0.2">
      <c r="B234" s="29"/>
      <c r="C234" s="29"/>
      <c r="D234" s="40"/>
      <c r="E234" s="40"/>
      <c r="F234" s="188"/>
      <c r="G234" s="188"/>
      <c r="H234" s="188"/>
      <c r="I234" s="188"/>
      <c r="J234" s="188"/>
      <c r="K234" s="188"/>
      <c r="L234" s="188"/>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row>
    <row r="235" spans="2:102" ht="23.25" customHeight="1" x14ac:dyDescent="0.2">
      <c r="B235" s="29"/>
      <c r="C235" s="29"/>
      <c r="D235" s="40"/>
      <c r="E235" s="40"/>
      <c r="F235" s="188"/>
      <c r="G235" s="188"/>
      <c r="H235" s="188"/>
      <c r="I235" s="188"/>
      <c r="J235" s="188"/>
      <c r="K235" s="188"/>
      <c r="L235" s="188"/>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row>
    <row r="236" spans="2:102" ht="23.25" customHeight="1" x14ac:dyDescent="0.2">
      <c r="B236" s="29"/>
      <c r="C236" s="29"/>
      <c r="D236" s="40"/>
      <c r="E236" s="40"/>
      <c r="F236" s="188"/>
      <c r="G236" s="188"/>
      <c r="H236" s="188"/>
      <c r="I236" s="188"/>
      <c r="J236" s="188"/>
      <c r="K236" s="188"/>
      <c r="L236" s="188"/>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row>
    <row r="237" spans="2:102" ht="23.25" customHeight="1" x14ac:dyDescent="0.2">
      <c r="B237" s="29"/>
      <c r="C237" s="29"/>
      <c r="D237" s="40"/>
      <c r="E237" s="40"/>
      <c r="F237" s="188"/>
      <c r="G237" s="188"/>
      <c r="H237" s="188"/>
      <c r="I237" s="188"/>
      <c r="J237" s="188"/>
      <c r="K237" s="188"/>
      <c r="L237" s="188"/>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row>
    <row r="238" spans="2:102" ht="23.25" customHeight="1" x14ac:dyDescent="0.2">
      <c r="B238" s="29"/>
      <c r="C238" s="29"/>
      <c r="D238" s="40"/>
      <c r="E238" s="40"/>
      <c r="F238" s="188"/>
      <c r="G238" s="188"/>
      <c r="H238" s="188"/>
      <c r="I238" s="188"/>
      <c r="J238" s="188"/>
      <c r="K238" s="188"/>
      <c r="L238" s="188"/>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row>
    <row r="239" spans="2:102" ht="23.25" customHeight="1" x14ac:dyDescent="0.2">
      <c r="B239" s="29"/>
      <c r="C239" s="29"/>
      <c r="D239" s="40"/>
      <c r="E239" s="40"/>
      <c r="F239" s="188"/>
      <c r="G239" s="188"/>
      <c r="H239" s="188"/>
      <c r="I239" s="188"/>
      <c r="J239" s="188"/>
      <c r="K239" s="188"/>
      <c r="L239" s="188"/>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row>
    <row r="240" spans="2:102" ht="23.25" customHeight="1" x14ac:dyDescent="0.2">
      <c r="B240" s="29"/>
      <c r="C240" s="29"/>
      <c r="D240" s="40"/>
      <c r="E240" s="40"/>
      <c r="F240" s="188"/>
      <c r="G240" s="188"/>
      <c r="H240" s="188"/>
      <c r="I240" s="188"/>
      <c r="J240" s="188"/>
      <c r="K240" s="188"/>
      <c r="L240" s="188"/>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row>
    <row r="241" spans="2:102" ht="23.25" customHeight="1" x14ac:dyDescent="0.2">
      <c r="B241" s="29"/>
      <c r="C241" s="29"/>
      <c r="D241" s="40"/>
      <c r="E241" s="40"/>
      <c r="F241" s="188"/>
      <c r="G241" s="188"/>
      <c r="H241" s="188"/>
      <c r="I241" s="188"/>
      <c r="J241" s="188"/>
      <c r="K241" s="188"/>
      <c r="L241" s="188"/>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row>
    <row r="242" spans="2:102" ht="23.25" customHeight="1" x14ac:dyDescent="0.2">
      <c r="B242" s="29"/>
      <c r="C242" s="29"/>
      <c r="D242" s="40"/>
      <c r="E242" s="40"/>
      <c r="F242" s="188"/>
      <c r="G242" s="188"/>
      <c r="H242" s="188"/>
      <c r="I242" s="188"/>
      <c r="J242" s="188"/>
      <c r="K242" s="188"/>
      <c r="L242" s="188"/>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row>
    <row r="243" spans="2:102" ht="23.25" customHeight="1" x14ac:dyDescent="0.2">
      <c r="B243" s="29"/>
      <c r="C243" s="29"/>
      <c r="D243" s="40"/>
      <c r="E243" s="40"/>
      <c r="F243" s="188"/>
      <c r="G243" s="188"/>
      <c r="H243" s="188"/>
      <c r="I243" s="188"/>
      <c r="J243" s="188"/>
      <c r="K243" s="188"/>
      <c r="L243" s="188"/>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row>
    <row r="244" spans="2:102" ht="23.25" customHeight="1" x14ac:dyDescent="0.2">
      <c r="B244" s="29"/>
      <c r="C244" s="29"/>
      <c r="D244" s="40"/>
      <c r="E244" s="40"/>
      <c r="F244" s="188"/>
      <c r="G244" s="188"/>
      <c r="H244" s="188"/>
      <c r="I244" s="188"/>
      <c r="J244" s="188"/>
      <c r="K244" s="188"/>
      <c r="L244" s="188"/>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row>
    <row r="245" spans="2:102" ht="23.25" customHeight="1" x14ac:dyDescent="0.2">
      <c r="B245" s="29"/>
      <c r="C245" s="29"/>
      <c r="D245" s="40"/>
      <c r="E245" s="40"/>
      <c r="F245" s="188"/>
      <c r="G245" s="188"/>
      <c r="H245" s="188"/>
      <c r="I245" s="188"/>
      <c r="J245" s="188"/>
      <c r="K245" s="188"/>
      <c r="L245" s="188"/>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row>
    <row r="246" spans="2:102" ht="23.25" customHeight="1" x14ac:dyDescent="0.2">
      <c r="B246" s="29"/>
      <c r="C246" s="29"/>
      <c r="D246" s="40"/>
      <c r="E246" s="40"/>
      <c r="F246" s="188"/>
      <c r="G246" s="188"/>
      <c r="H246" s="188"/>
      <c r="I246" s="188"/>
      <c r="J246" s="188"/>
      <c r="K246" s="188"/>
      <c r="L246" s="188"/>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row>
    <row r="247" spans="2:102" ht="23.25" customHeight="1" x14ac:dyDescent="0.2">
      <c r="B247" s="29"/>
      <c r="C247" s="29"/>
      <c r="D247" s="40"/>
      <c r="E247" s="40"/>
      <c r="F247" s="188"/>
      <c r="G247" s="188"/>
      <c r="H247" s="188"/>
      <c r="I247" s="188"/>
      <c r="J247" s="188"/>
      <c r="K247" s="188"/>
      <c r="L247" s="188"/>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row>
    <row r="248" spans="2:102" ht="23.25" customHeight="1" x14ac:dyDescent="0.2">
      <c r="B248" s="29"/>
      <c r="C248" s="29"/>
      <c r="D248" s="40"/>
      <c r="E248" s="40"/>
      <c r="F248" s="188"/>
      <c r="G248" s="188"/>
      <c r="H248" s="188"/>
      <c r="I248" s="188"/>
      <c r="J248" s="188"/>
      <c r="K248" s="188"/>
      <c r="L248" s="188"/>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row>
    <row r="249" spans="2:102" ht="23.25" customHeight="1" x14ac:dyDescent="0.2">
      <c r="B249" s="29"/>
      <c r="C249" s="29"/>
      <c r="D249" s="40"/>
      <c r="E249" s="40"/>
      <c r="F249" s="188"/>
      <c r="G249" s="188"/>
      <c r="H249" s="188"/>
      <c r="I249" s="188"/>
      <c r="J249" s="188"/>
      <c r="K249" s="188"/>
      <c r="L249" s="188"/>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row>
    <row r="250" spans="2:102" ht="23.25" customHeight="1" x14ac:dyDescent="0.2">
      <c r="B250" s="29"/>
      <c r="C250" s="29"/>
      <c r="D250" s="40"/>
      <c r="E250" s="40"/>
      <c r="F250" s="188"/>
      <c r="G250" s="188"/>
      <c r="H250" s="188"/>
      <c r="I250" s="188"/>
      <c r="J250" s="188"/>
      <c r="K250" s="188"/>
      <c r="L250" s="188"/>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row>
    <row r="251" spans="2:102" ht="23.25" customHeight="1" x14ac:dyDescent="0.2">
      <c r="B251" s="29"/>
      <c r="C251" s="29"/>
      <c r="D251" s="40"/>
      <c r="E251" s="40"/>
      <c r="F251" s="188"/>
      <c r="G251" s="188"/>
      <c r="H251" s="188"/>
      <c r="I251" s="188"/>
      <c r="J251" s="188"/>
      <c r="K251" s="188"/>
      <c r="L251" s="188"/>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row>
    <row r="252" spans="2:102" ht="23.25" customHeight="1" x14ac:dyDescent="0.2">
      <c r="B252" s="29"/>
      <c r="C252" s="29"/>
      <c r="D252" s="40"/>
      <c r="E252" s="40"/>
      <c r="F252" s="188"/>
      <c r="G252" s="188"/>
      <c r="H252" s="188"/>
      <c r="I252" s="188"/>
      <c r="J252" s="188"/>
      <c r="K252" s="188"/>
      <c r="L252" s="188"/>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row>
    <row r="253" spans="2:102" ht="23.25" customHeight="1" x14ac:dyDescent="0.2">
      <c r="B253" s="29"/>
      <c r="C253" s="29"/>
      <c r="D253" s="40"/>
      <c r="E253" s="40"/>
      <c r="F253" s="188"/>
      <c r="G253" s="188"/>
      <c r="H253" s="188"/>
      <c r="I253" s="188"/>
      <c r="J253" s="188"/>
      <c r="K253" s="188"/>
      <c r="L253" s="188"/>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row>
    <row r="254" spans="2:102" ht="23.25" customHeight="1" x14ac:dyDescent="0.2">
      <c r="B254" s="29"/>
      <c r="C254" s="29"/>
      <c r="D254" s="40"/>
      <c r="E254" s="40"/>
      <c r="F254" s="188"/>
      <c r="G254" s="188"/>
      <c r="H254" s="188"/>
      <c r="I254" s="188"/>
      <c r="J254" s="188"/>
      <c r="K254" s="188"/>
      <c r="L254" s="188"/>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row>
    <row r="255" spans="2:102" ht="23.25" customHeight="1" x14ac:dyDescent="0.2">
      <c r="B255" s="29"/>
      <c r="C255" s="29"/>
      <c r="D255" s="40"/>
      <c r="E255" s="40"/>
      <c r="F255" s="188"/>
      <c r="G255" s="188"/>
      <c r="H255" s="188"/>
      <c r="I255" s="188"/>
      <c r="J255" s="188"/>
      <c r="K255" s="188"/>
      <c r="L255" s="188"/>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row>
    <row r="256" spans="2:102" ht="23.25" customHeight="1" x14ac:dyDescent="0.2">
      <c r="B256" s="29"/>
      <c r="C256" s="29"/>
      <c r="D256" s="40"/>
      <c r="E256" s="40"/>
      <c r="F256" s="188"/>
      <c r="G256" s="188"/>
      <c r="H256" s="188"/>
      <c r="I256" s="188"/>
      <c r="J256" s="188"/>
      <c r="K256" s="188"/>
      <c r="L256" s="188"/>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row>
    <row r="257" spans="2:102" ht="23.25" customHeight="1" x14ac:dyDescent="0.2">
      <c r="B257" s="29"/>
      <c r="C257" s="29"/>
      <c r="D257" s="40"/>
      <c r="E257" s="40"/>
      <c r="F257" s="188"/>
      <c r="G257" s="188"/>
      <c r="H257" s="188"/>
      <c r="I257" s="188"/>
      <c r="J257" s="188"/>
      <c r="K257" s="188"/>
      <c r="L257" s="188"/>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row>
    <row r="258" spans="2:102" ht="23.25" customHeight="1" x14ac:dyDescent="0.2">
      <c r="B258" s="29"/>
      <c r="C258" s="29"/>
      <c r="D258" s="40"/>
      <c r="E258" s="40"/>
      <c r="F258" s="188"/>
      <c r="G258" s="188"/>
      <c r="H258" s="188"/>
      <c r="I258" s="188"/>
      <c r="J258" s="188"/>
      <c r="K258" s="188"/>
      <c r="L258" s="188"/>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row>
    <row r="259" spans="2:102" ht="23.25" customHeight="1" x14ac:dyDescent="0.2">
      <c r="B259" s="29"/>
      <c r="C259" s="29"/>
      <c r="D259" s="40"/>
      <c r="E259" s="40"/>
      <c r="F259" s="188"/>
      <c r="G259" s="188"/>
      <c r="H259" s="188"/>
      <c r="I259" s="188"/>
      <c r="J259" s="188"/>
      <c r="K259" s="188"/>
      <c r="L259" s="188"/>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row>
    <row r="260" spans="2:102" ht="23.25" customHeight="1" x14ac:dyDescent="0.2">
      <c r="B260" s="29"/>
      <c r="C260" s="29"/>
      <c r="D260" s="40"/>
      <c r="E260" s="40"/>
      <c r="F260" s="188"/>
      <c r="G260" s="188"/>
      <c r="H260" s="188"/>
      <c r="I260" s="188"/>
      <c r="J260" s="188"/>
      <c r="K260" s="188"/>
      <c r="L260" s="188"/>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row>
    <row r="261" spans="2:102" ht="23.25" customHeight="1" x14ac:dyDescent="0.2">
      <c r="B261" s="29"/>
      <c r="C261" s="29"/>
      <c r="D261" s="40"/>
      <c r="E261" s="40"/>
      <c r="F261" s="188"/>
      <c r="G261" s="188"/>
      <c r="H261" s="188"/>
      <c r="I261" s="188"/>
      <c r="J261" s="188"/>
      <c r="K261" s="188"/>
      <c r="L261" s="188"/>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row>
    <row r="262" spans="2:102" ht="23.25" customHeight="1" x14ac:dyDescent="0.2">
      <c r="B262" s="29"/>
      <c r="C262" s="29"/>
      <c r="D262" s="40"/>
      <c r="E262" s="40"/>
      <c r="F262" s="188"/>
      <c r="G262" s="188"/>
      <c r="H262" s="188"/>
      <c r="I262" s="188"/>
      <c r="J262" s="188"/>
      <c r="K262" s="188"/>
      <c r="L262" s="188"/>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row>
    <row r="263" spans="2:102" ht="23.25" customHeight="1" x14ac:dyDescent="0.2">
      <c r="B263" s="29"/>
      <c r="C263" s="29"/>
      <c r="D263" s="40"/>
      <c r="E263" s="40"/>
      <c r="F263" s="188"/>
      <c r="G263" s="188"/>
      <c r="H263" s="188"/>
      <c r="I263" s="188"/>
      <c r="J263" s="188"/>
      <c r="K263" s="188"/>
      <c r="L263" s="188"/>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row>
    <row r="264" spans="2:102" ht="23.25" customHeight="1" x14ac:dyDescent="0.2">
      <c r="B264" s="29"/>
      <c r="C264" s="29"/>
      <c r="D264" s="40"/>
      <c r="E264" s="40"/>
      <c r="F264" s="188"/>
      <c r="G264" s="188"/>
      <c r="H264" s="188"/>
      <c r="I264" s="188"/>
      <c r="J264" s="188"/>
      <c r="K264" s="188"/>
      <c r="L264" s="188"/>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row>
    <row r="265" spans="2:102" ht="23.25" customHeight="1" x14ac:dyDescent="0.2">
      <c r="B265" s="29"/>
      <c r="C265" s="29"/>
      <c r="D265" s="40"/>
      <c r="E265" s="40"/>
      <c r="F265" s="188"/>
      <c r="G265" s="188"/>
      <c r="H265" s="188"/>
      <c r="I265" s="188"/>
      <c r="J265" s="188"/>
      <c r="K265" s="188"/>
      <c r="L265" s="188"/>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row>
    <row r="266" spans="2:102" ht="23.25" customHeight="1" x14ac:dyDescent="0.2">
      <c r="B266" s="29"/>
      <c r="C266" s="29"/>
      <c r="D266" s="40"/>
      <c r="E266" s="40"/>
      <c r="F266" s="188"/>
      <c r="G266" s="188"/>
      <c r="H266" s="188"/>
      <c r="I266" s="188"/>
      <c r="J266" s="188"/>
      <c r="K266" s="188"/>
      <c r="L266" s="188"/>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row>
    <row r="267" spans="2:102" ht="23.25" customHeight="1" x14ac:dyDescent="0.2">
      <c r="B267" s="29"/>
      <c r="C267" s="29"/>
      <c r="D267" s="40"/>
      <c r="E267" s="40"/>
      <c r="F267" s="188"/>
      <c r="G267" s="188"/>
      <c r="H267" s="188"/>
      <c r="I267" s="188"/>
      <c r="J267" s="188"/>
      <c r="K267" s="188"/>
      <c r="L267" s="188"/>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row>
    <row r="268" spans="2:102" ht="23.25" customHeight="1" x14ac:dyDescent="0.2">
      <c r="B268" s="29"/>
      <c r="C268" s="29"/>
      <c r="D268" s="40"/>
      <c r="E268" s="40"/>
      <c r="F268" s="188"/>
      <c r="G268" s="188"/>
      <c r="H268" s="188"/>
      <c r="I268" s="188"/>
      <c r="J268" s="188"/>
      <c r="K268" s="188"/>
      <c r="L268" s="188"/>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row>
    <row r="269" spans="2:102" ht="23.25" customHeight="1" x14ac:dyDescent="0.2">
      <c r="B269" s="29"/>
      <c r="C269" s="29"/>
      <c r="D269" s="40"/>
      <c r="E269" s="40"/>
      <c r="F269" s="188"/>
      <c r="G269" s="188"/>
      <c r="H269" s="188"/>
      <c r="I269" s="188"/>
      <c r="J269" s="188"/>
      <c r="K269" s="188"/>
      <c r="L269" s="188"/>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row>
    <row r="270" spans="2:102" ht="23.25" customHeight="1" x14ac:dyDescent="0.2">
      <c r="B270" s="29"/>
      <c r="C270" s="29"/>
      <c r="D270" s="40"/>
      <c r="E270" s="40"/>
      <c r="F270" s="188"/>
      <c r="G270" s="188"/>
      <c r="H270" s="188"/>
      <c r="I270" s="188"/>
      <c r="J270" s="188"/>
      <c r="K270" s="188"/>
      <c r="L270" s="188"/>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row>
    <row r="271" spans="2:102" ht="23.25" customHeight="1" x14ac:dyDescent="0.2">
      <c r="B271" s="29"/>
      <c r="C271" s="29"/>
      <c r="D271" s="40"/>
      <c r="E271" s="40"/>
      <c r="F271" s="188"/>
      <c r="G271" s="188"/>
      <c r="H271" s="188"/>
      <c r="I271" s="188"/>
      <c r="J271" s="188"/>
      <c r="K271" s="188"/>
      <c r="L271" s="188"/>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row>
    <row r="272" spans="2:102" ht="23.25" customHeight="1" x14ac:dyDescent="0.2">
      <c r="B272" s="29"/>
      <c r="C272" s="29"/>
      <c r="D272" s="40"/>
      <c r="E272" s="40"/>
      <c r="F272" s="188"/>
      <c r="G272" s="188"/>
      <c r="H272" s="188"/>
      <c r="I272" s="188"/>
      <c r="J272" s="188"/>
      <c r="K272" s="188"/>
      <c r="L272" s="188"/>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row>
    <row r="273" spans="2:102" ht="23.25" customHeight="1" x14ac:dyDescent="0.2">
      <c r="B273" s="29"/>
      <c r="C273" s="29"/>
      <c r="D273" s="40"/>
      <c r="E273" s="40"/>
      <c r="F273" s="188"/>
      <c r="G273" s="188"/>
      <c r="H273" s="188"/>
      <c r="I273" s="188"/>
      <c r="J273" s="188"/>
      <c r="K273" s="188"/>
      <c r="L273" s="188"/>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row>
    <row r="274" spans="2:102" ht="23.25" customHeight="1" x14ac:dyDescent="0.2">
      <c r="B274" s="29"/>
      <c r="C274" s="29"/>
      <c r="D274" s="40"/>
      <c r="E274" s="40"/>
      <c r="F274" s="188"/>
      <c r="G274" s="188"/>
      <c r="H274" s="188"/>
      <c r="I274" s="188"/>
      <c r="J274" s="188"/>
      <c r="K274" s="188"/>
      <c r="L274" s="188"/>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row>
    <row r="275" spans="2:102" ht="23.25" customHeight="1" x14ac:dyDescent="0.2">
      <c r="B275" s="29"/>
      <c r="C275" s="29"/>
      <c r="D275" s="40"/>
      <c r="E275" s="40"/>
      <c r="F275" s="188"/>
      <c r="G275" s="188"/>
      <c r="H275" s="188"/>
      <c r="I275" s="188"/>
      <c r="J275" s="188"/>
      <c r="K275" s="188"/>
      <c r="L275" s="188"/>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row>
    <row r="276" spans="2:102" ht="23.25" customHeight="1" x14ac:dyDescent="0.2">
      <c r="B276" s="29"/>
      <c r="C276" s="29"/>
      <c r="D276" s="40"/>
      <c r="E276" s="40"/>
      <c r="F276" s="188"/>
      <c r="G276" s="188"/>
      <c r="H276" s="188"/>
      <c r="I276" s="188"/>
      <c r="J276" s="188"/>
      <c r="K276" s="188"/>
      <c r="L276" s="188"/>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row>
    <row r="277" spans="2:102" ht="23.25" customHeight="1" x14ac:dyDescent="0.2">
      <c r="B277" s="29"/>
      <c r="C277" s="29"/>
      <c r="D277" s="40"/>
      <c r="E277" s="40"/>
      <c r="F277" s="188"/>
      <c r="G277" s="188"/>
      <c r="H277" s="188"/>
      <c r="I277" s="188"/>
      <c r="J277" s="188"/>
      <c r="K277" s="188"/>
      <c r="L277" s="188"/>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row>
    <row r="278" spans="2:102" ht="23.25" customHeight="1" x14ac:dyDescent="0.2">
      <c r="B278" s="29"/>
      <c r="C278" s="29"/>
      <c r="D278" s="40"/>
      <c r="E278" s="40"/>
      <c r="F278" s="188"/>
      <c r="G278" s="188"/>
      <c r="H278" s="188"/>
      <c r="I278" s="188"/>
      <c r="J278" s="188"/>
      <c r="K278" s="188"/>
      <c r="L278" s="188"/>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row>
    <row r="279" spans="2:102" ht="23.25" customHeight="1" x14ac:dyDescent="0.2">
      <c r="B279" s="29"/>
      <c r="C279" s="29"/>
      <c r="D279" s="40"/>
      <c r="E279" s="40"/>
      <c r="F279" s="188"/>
      <c r="G279" s="188"/>
      <c r="H279" s="188"/>
      <c r="I279" s="188"/>
      <c r="J279" s="188"/>
      <c r="K279" s="188"/>
      <c r="L279" s="188"/>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row>
    <row r="280" spans="2:102" ht="23.25" customHeight="1" x14ac:dyDescent="0.2">
      <c r="B280" s="29"/>
      <c r="C280" s="29"/>
      <c r="D280" s="40"/>
      <c r="E280" s="40"/>
      <c r="F280" s="188"/>
      <c r="G280" s="188"/>
      <c r="H280" s="188"/>
      <c r="I280" s="188"/>
      <c r="J280" s="188"/>
      <c r="K280" s="188"/>
      <c r="L280" s="188"/>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row>
    <row r="281" spans="2:102" ht="23.25" customHeight="1" x14ac:dyDescent="0.2">
      <c r="B281" s="29"/>
      <c r="C281" s="29"/>
      <c r="D281" s="40"/>
      <c r="E281" s="40"/>
      <c r="F281" s="188"/>
      <c r="G281" s="188"/>
      <c r="H281" s="188"/>
      <c r="I281" s="188"/>
      <c r="J281" s="188"/>
      <c r="K281" s="188"/>
      <c r="L281" s="188"/>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row>
    <row r="282" spans="2:102" ht="23.25" customHeight="1" x14ac:dyDescent="0.2">
      <c r="B282" s="29"/>
      <c r="C282" s="29"/>
      <c r="D282" s="40"/>
      <c r="E282" s="40"/>
      <c r="F282" s="188"/>
      <c r="G282" s="188"/>
      <c r="H282" s="188"/>
      <c r="I282" s="188"/>
      <c r="J282" s="188"/>
      <c r="K282" s="188"/>
      <c r="L282" s="188"/>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row>
    <row r="283" spans="2:102" ht="23.25" customHeight="1" x14ac:dyDescent="0.2">
      <c r="B283" s="29"/>
      <c r="C283" s="29"/>
      <c r="D283" s="40"/>
      <c r="E283" s="40"/>
      <c r="F283" s="188"/>
      <c r="G283" s="188"/>
      <c r="H283" s="188"/>
      <c r="I283" s="188"/>
      <c r="J283" s="188"/>
      <c r="K283" s="188"/>
      <c r="L283" s="188"/>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row>
    <row r="284" spans="2:102" ht="23.25" customHeight="1" x14ac:dyDescent="0.2">
      <c r="B284" s="29"/>
      <c r="C284" s="29"/>
      <c r="D284" s="40"/>
      <c r="E284" s="40"/>
      <c r="F284" s="188"/>
      <c r="G284" s="188"/>
      <c r="H284" s="188"/>
      <c r="I284" s="188"/>
      <c r="J284" s="188"/>
      <c r="K284" s="188"/>
      <c r="L284" s="188"/>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row>
    <row r="285" spans="2:102" ht="23.25" customHeight="1" x14ac:dyDescent="0.2">
      <c r="B285" s="29"/>
      <c r="C285" s="29"/>
      <c r="D285" s="40"/>
      <c r="E285" s="40"/>
      <c r="F285" s="188"/>
      <c r="G285" s="188"/>
      <c r="H285" s="188"/>
      <c r="I285" s="188"/>
      <c r="J285" s="188"/>
      <c r="K285" s="188"/>
      <c r="L285" s="188"/>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row>
    <row r="286" spans="2:102" ht="23.25" customHeight="1" x14ac:dyDescent="0.2">
      <c r="B286" s="29"/>
      <c r="C286" s="29"/>
      <c r="D286" s="40"/>
      <c r="E286" s="40"/>
      <c r="F286" s="188"/>
      <c r="G286" s="188"/>
      <c r="H286" s="188"/>
      <c r="I286" s="188"/>
      <c r="J286" s="188"/>
      <c r="K286" s="188"/>
      <c r="L286" s="188"/>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row>
    <row r="287" spans="2:102" ht="23.25" customHeight="1" x14ac:dyDescent="0.2">
      <c r="B287" s="29"/>
      <c r="C287" s="29"/>
      <c r="D287" s="40"/>
      <c r="E287" s="40"/>
      <c r="F287" s="188"/>
      <c r="G287" s="188"/>
      <c r="H287" s="188"/>
      <c r="I287" s="188"/>
      <c r="J287" s="188"/>
      <c r="K287" s="188"/>
      <c r="L287" s="188"/>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row>
    <row r="288" spans="2:102" ht="23.25" customHeight="1" x14ac:dyDescent="0.2">
      <c r="B288" s="29"/>
      <c r="C288" s="29"/>
      <c r="D288" s="40"/>
      <c r="E288" s="40"/>
      <c r="F288" s="188"/>
      <c r="G288" s="188"/>
      <c r="H288" s="188"/>
      <c r="I288" s="188"/>
      <c r="J288" s="188"/>
      <c r="K288" s="188"/>
      <c r="L288" s="188"/>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row>
    <row r="289" spans="2:102" ht="23.25" customHeight="1" x14ac:dyDescent="0.2">
      <c r="B289" s="29"/>
      <c r="C289" s="29"/>
      <c r="D289" s="40"/>
      <c r="E289" s="40"/>
      <c r="F289" s="188"/>
      <c r="G289" s="188"/>
      <c r="H289" s="188"/>
      <c r="I289" s="188"/>
      <c r="J289" s="188"/>
      <c r="K289" s="188"/>
      <c r="L289" s="188"/>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row>
    <row r="290" spans="2:102" ht="23.25" customHeight="1" x14ac:dyDescent="0.2">
      <c r="B290" s="29"/>
      <c r="C290" s="29"/>
      <c r="D290" s="40"/>
      <c r="E290" s="40"/>
      <c r="F290" s="188"/>
      <c r="G290" s="188"/>
      <c r="H290" s="188"/>
      <c r="I290" s="188"/>
      <c r="J290" s="188"/>
      <c r="K290" s="188"/>
      <c r="L290" s="188"/>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row>
    <row r="291" spans="2:102" ht="23.25" customHeight="1" x14ac:dyDescent="0.2">
      <c r="B291" s="29"/>
      <c r="C291" s="29"/>
      <c r="D291" s="40"/>
      <c r="E291" s="40"/>
      <c r="F291" s="188"/>
      <c r="G291" s="188"/>
      <c r="H291" s="188"/>
      <c r="I291" s="188"/>
      <c r="J291" s="188"/>
      <c r="K291" s="188"/>
      <c r="L291" s="188"/>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row>
    <row r="292" spans="2:102" ht="23.25" customHeight="1" x14ac:dyDescent="0.2">
      <c r="B292" s="29"/>
      <c r="C292" s="29"/>
      <c r="D292" s="40"/>
      <c r="E292" s="40"/>
      <c r="F292" s="188"/>
      <c r="G292" s="188"/>
      <c r="H292" s="188"/>
      <c r="I292" s="188"/>
      <c r="J292" s="188"/>
      <c r="K292" s="188"/>
      <c r="L292" s="188"/>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row>
    <row r="293" spans="2:102" ht="23.25" customHeight="1" x14ac:dyDescent="0.2">
      <c r="B293" s="29"/>
      <c r="C293" s="29"/>
      <c r="D293" s="40"/>
      <c r="E293" s="40"/>
      <c r="F293" s="188"/>
      <c r="G293" s="188"/>
      <c r="H293" s="188"/>
      <c r="I293" s="188"/>
      <c r="J293" s="188"/>
      <c r="K293" s="188"/>
      <c r="L293" s="188"/>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row>
    <row r="294" spans="2:102" ht="23.25" customHeight="1" x14ac:dyDescent="0.2">
      <c r="B294" s="29"/>
      <c r="C294" s="29"/>
      <c r="D294" s="40"/>
      <c r="E294" s="40"/>
      <c r="F294" s="188"/>
      <c r="G294" s="188"/>
      <c r="H294" s="188"/>
      <c r="I294" s="188"/>
      <c r="J294" s="188"/>
      <c r="K294" s="188"/>
      <c r="L294" s="188"/>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row>
    <row r="295" spans="2:102" ht="23.25" customHeight="1" x14ac:dyDescent="0.2">
      <c r="B295" s="29"/>
      <c r="C295" s="29"/>
      <c r="D295" s="40"/>
      <c r="E295" s="40"/>
      <c r="F295" s="188"/>
      <c r="G295" s="188"/>
      <c r="H295" s="188"/>
      <c r="I295" s="188"/>
      <c r="J295" s="188"/>
      <c r="K295" s="188"/>
      <c r="L295" s="188"/>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row>
    <row r="296" spans="2:102" ht="23.25" customHeight="1" x14ac:dyDescent="0.2">
      <c r="B296" s="29"/>
      <c r="C296" s="29"/>
      <c r="D296" s="40"/>
      <c r="E296" s="40"/>
      <c r="F296" s="188"/>
      <c r="G296" s="188"/>
      <c r="H296" s="188"/>
      <c r="I296" s="188"/>
      <c r="J296" s="188"/>
      <c r="K296" s="188"/>
      <c r="L296" s="188"/>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row>
    <row r="297" spans="2:102" ht="23.25" customHeight="1" x14ac:dyDescent="0.2">
      <c r="B297" s="29"/>
      <c r="C297" s="29"/>
      <c r="D297" s="40"/>
      <c r="E297" s="40"/>
      <c r="F297" s="188"/>
      <c r="G297" s="188"/>
      <c r="H297" s="188"/>
      <c r="I297" s="188"/>
      <c r="J297" s="188"/>
      <c r="K297" s="188"/>
      <c r="L297" s="188"/>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row>
    <row r="298" spans="2:102" ht="23.25" customHeight="1" x14ac:dyDescent="0.2">
      <c r="B298" s="29"/>
      <c r="C298" s="29"/>
      <c r="D298" s="40"/>
      <c r="E298" s="40"/>
      <c r="F298" s="188"/>
      <c r="G298" s="188"/>
      <c r="H298" s="188"/>
      <c r="I298" s="188"/>
      <c r="J298" s="188"/>
      <c r="K298" s="188"/>
      <c r="L298" s="188"/>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row>
    <row r="299" spans="2:102" ht="23.25" customHeight="1" x14ac:dyDescent="0.2">
      <c r="B299" s="29"/>
      <c r="C299" s="29"/>
      <c r="D299" s="40"/>
      <c r="E299" s="40"/>
      <c r="F299" s="188"/>
      <c r="G299" s="188"/>
      <c r="H299" s="188"/>
      <c r="I299" s="188"/>
      <c r="J299" s="188"/>
      <c r="K299" s="188"/>
      <c r="L299" s="188"/>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row>
    <row r="300" spans="2:102" ht="23.25" customHeight="1" x14ac:dyDescent="0.2">
      <c r="B300" s="29"/>
      <c r="C300" s="29"/>
      <c r="D300" s="40"/>
      <c r="E300" s="40"/>
      <c r="F300" s="188"/>
      <c r="G300" s="188"/>
      <c r="H300" s="188"/>
      <c r="I300" s="188"/>
      <c r="J300" s="188"/>
      <c r="K300" s="188"/>
      <c r="L300" s="188"/>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row>
    <row r="301" spans="2:102" ht="23.25" customHeight="1" x14ac:dyDescent="0.2">
      <c r="B301" s="29"/>
      <c r="C301" s="29"/>
      <c r="D301" s="40"/>
      <c r="E301" s="40"/>
      <c r="F301" s="188"/>
      <c r="G301" s="188"/>
      <c r="H301" s="188"/>
      <c r="I301" s="188"/>
      <c r="J301" s="188"/>
      <c r="K301" s="188"/>
      <c r="L301" s="188"/>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row>
    <row r="302" spans="2:102" ht="23.25" customHeight="1" x14ac:dyDescent="0.2">
      <c r="B302" s="29"/>
      <c r="C302" s="29"/>
      <c r="D302" s="40"/>
      <c r="E302" s="40"/>
      <c r="F302" s="188"/>
      <c r="G302" s="188"/>
      <c r="H302" s="188"/>
      <c r="I302" s="188"/>
      <c r="J302" s="188"/>
      <c r="K302" s="188"/>
      <c r="L302" s="188"/>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row>
    <row r="303" spans="2:102" ht="23.25" customHeight="1" x14ac:dyDescent="0.2">
      <c r="B303" s="29"/>
      <c r="C303" s="29"/>
      <c r="D303" s="40"/>
      <c r="E303" s="40"/>
      <c r="F303" s="188"/>
      <c r="G303" s="188"/>
      <c r="H303" s="188"/>
      <c r="I303" s="188"/>
      <c r="J303" s="188"/>
      <c r="K303" s="188"/>
      <c r="L303" s="188"/>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row>
    <row r="304" spans="2:102" ht="23.25" customHeight="1" x14ac:dyDescent="0.2">
      <c r="B304" s="29"/>
      <c r="C304" s="29"/>
      <c r="D304" s="40"/>
      <c r="E304" s="40"/>
      <c r="F304" s="188"/>
      <c r="G304" s="188"/>
      <c r="H304" s="188"/>
      <c r="I304" s="188"/>
      <c r="J304" s="188"/>
      <c r="K304" s="188"/>
      <c r="L304" s="188"/>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row>
    <row r="305" spans="2:102" ht="23.25" customHeight="1" x14ac:dyDescent="0.2">
      <c r="B305" s="29"/>
      <c r="C305" s="29"/>
      <c r="D305" s="40"/>
      <c r="E305" s="40"/>
      <c r="F305" s="188"/>
      <c r="G305" s="188"/>
      <c r="H305" s="188"/>
      <c r="I305" s="188"/>
      <c r="J305" s="188"/>
      <c r="K305" s="188"/>
      <c r="L305" s="188"/>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row>
    <row r="306" spans="2:102" ht="23.25" customHeight="1" x14ac:dyDescent="0.2">
      <c r="B306" s="29"/>
      <c r="C306" s="29"/>
      <c r="D306" s="40"/>
      <c r="E306" s="40"/>
      <c r="F306" s="188"/>
      <c r="G306" s="188"/>
      <c r="H306" s="188"/>
      <c r="I306" s="188"/>
      <c r="J306" s="188"/>
      <c r="K306" s="188"/>
      <c r="L306" s="188"/>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row>
    <row r="307" spans="2:102" ht="23.25" customHeight="1" x14ac:dyDescent="0.2">
      <c r="B307" s="29"/>
      <c r="C307" s="29"/>
      <c r="D307" s="40"/>
      <c r="E307" s="40"/>
      <c r="F307" s="188"/>
      <c r="G307" s="188"/>
      <c r="H307" s="188"/>
      <c r="I307" s="188"/>
      <c r="J307" s="188"/>
      <c r="K307" s="188"/>
      <c r="L307" s="188"/>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row>
    <row r="308" spans="2:102" ht="23.25" customHeight="1" x14ac:dyDescent="0.2">
      <c r="B308" s="29"/>
      <c r="C308" s="29"/>
      <c r="D308" s="40"/>
      <c r="E308" s="40"/>
      <c r="F308" s="188"/>
      <c r="G308" s="188"/>
      <c r="H308" s="188"/>
      <c r="I308" s="188"/>
      <c r="J308" s="188"/>
      <c r="K308" s="188"/>
      <c r="L308" s="188"/>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row>
    <row r="309" spans="2:102" ht="23.25" customHeight="1" x14ac:dyDescent="0.2">
      <c r="B309" s="29"/>
      <c r="C309" s="29"/>
      <c r="D309" s="40"/>
      <c r="E309" s="40"/>
      <c r="F309" s="188"/>
      <c r="G309" s="188"/>
      <c r="H309" s="188"/>
      <c r="I309" s="188"/>
      <c r="J309" s="188"/>
      <c r="K309" s="188"/>
      <c r="L309" s="188"/>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row>
    <row r="310" spans="2:102" ht="23.25" customHeight="1" x14ac:dyDescent="0.2">
      <c r="B310" s="29"/>
      <c r="C310" s="29"/>
      <c r="D310" s="40"/>
      <c r="E310" s="40"/>
      <c r="F310" s="188"/>
      <c r="G310" s="188"/>
      <c r="H310" s="188"/>
      <c r="I310" s="188"/>
      <c r="J310" s="188"/>
      <c r="K310" s="188"/>
      <c r="L310" s="188"/>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row>
    <row r="311" spans="2:102" ht="23.25" customHeight="1" x14ac:dyDescent="0.2">
      <c r="B311" s="29"/>
      <c r="C311" s="29"/>
      <c r="D311" s="40"/>
      <c r="E311" s="40"/>
      <c r="F311" s="188"/>
      <c r="G311" s="188"/>
      <c r="H311" s="188"/>
      <c r="I311" s="188"/>
      <c r="J311" s="188"/>
      <c r="K311" s="188"/>
      <c r="L311" s="188"/>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row>
    <row r="312" spans="2:102" ht="23.25" customHeight="1" x14ac:dyDescent="0.2">
      <c r="B312" s="29"/>
      <c r="C312" s="29"/>
      <c r="D312" s="40"/>
      <c r="E312" s="40"/>
      <c r="F312" s="188"/>
      <c r="G312" s="188"/>
      <c r="H312" s="188"/>
      <c r="I312" s="188"/>
      <c r="J312" s="188"/>
      <c r="K312" s="188"/>
      <c r="L312" s="188"/>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row>
    <row r="313" spans="2:102" ht="23.25" customHeight="1" x14ac:dyDescent="0.2">
      <c r="B313" s="29"/>
      <c r="C313" s="29"/>
      <c r="D313" s="40"/>
      <c r="E313" s="40"/>
      <c r="F313" s="188"/>
      <c r="G313" s="188"/>
      <c r="H313" s="188"/>
      <c r="I313" s="188"/>
      <c r="J313" s="188"/>
      <c r="K313" s="188"/>
      <c r="L313" s="188"/>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row>
    <row r="314" spans="2:102" ht="23.25" customHeight="1" x14ac:dyDescent="0.2">
      <c r="B314" s="29"/>
      <c r="C314" s="29"/>
      <c r="D314" s="40"/>
      <c r="E314" s="40"/>
      <c r="F314" s="188"/>
      <c r="G314" s="188"/>
      <c r="H314" s="188"/>
      <c r="I314" s="188"/>
      <c r="J314" s="188"/>
      <c r="K314" s="188"/>
      <c r="L314" s="188"/>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row>
    <row r="315" spans="2:102" ht="23.25" customHeight="1" x14ac:dyDescent="0.2">
      <c r="B315" s="29"/>
      <c r="C315" s="29"/>
      <c r="D315" s="40"/>
      <c r="E315" s="40"/>
      <c r="F315" s="188"/>
      <c r="G315" s="188"/>
      <c r="H315" s="188"/>
      <c r="I315" s="188"/>
      <c r="J315" s="188"/>
      <c r="K315" s="188"/>
      <c r="L315" s="188"/>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row>
    <row r="316" spans="2:102" ht="23.25" customHeight="1" x14ac:dyDescent="0.2">
      <c r="B316" s="29"/>
      <c r="C316" s="29"/>
      <c r="D316" s="40"/>
      <c r="E316" s="40"/>
      <c r="F316" s="188"/>
      <c r="G316" s="188"/>
      <c r="H316" s="188"/>
      <c r="I316" s="188"/>
      <c r="J316" s="188"/>
      <c r="K316" s="188"/>
      <c r="L316" s="188"/>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row>
  </sheetData>
  <sheetCalcPr fullCalcOnLoad="1"/>
  <sheetProtection password="CEF3" sheet="1" objects="1" scenarios="1" selectLockedCells="1"/>
  <mergeCells count="969">
    <mergeCell ref="D20:J21"/>
    <mergeCell ref="D23:J24"/>
    <mergeCell ref="CY29:CY30"/>
    <mergeCell ref="CZ29:DD30"/>
    <mergeCell ref="CY32:CY33"/>
    <mergeCell ref="CZ32:DD33"/>
    <mergeCell ref="D2:J3"/>
    <mergeCell ref="D5:J6"/>
    <mergeCell ref="D8:J9"/>
    <mergeCell ref="D11:J12"/>
    <mergeCell ref="D14:J15"/>
    <mergeCell ref="D17:J18"/>
    <mergeCell ref="CY20:CY21"/>
    <mergeCell ref="CZ20:DD21"/>
    <mergeCell ref="CY23:CY24"/>
    <mergeCell ref="CZ23:DD24"/>
    <mergeCell ref="CY26:CY27"/>
    <mergeCell ref="CZ26:DD27"/>
    <mergeCell ref="CY11:CY12"/>
    <mergeCell ref="CZ11:DD12"/>
    <mergeCell ref="DE11:DE12"/>
    <mergeCell ref="CY14:CY15"/>
    <mergeCell ref="CZ14:DD15"/>
    <mergeCell ref="CY17:CY18"/>
    <mergeCell ref="CZ17:DD18"/>
    <mergeCell ref="B2:C3"/>
    <mergeCell ref="B5:C6"/>
    <mergeCell ref="B8:C9"/>
    <mergeCell ref="CY2:DE3"/>
    <mergeCell ref="CY5:CY6"/>
    <mergeCell ref="CZ5:DD6"/>
    <mergeCell ref="DE5:DE6"/>
    <mergeCell ref="CY8:CY9"/>
    <mergeCell ref="CZ8:DD9"/>
    <mergeCell ref="DE8:DE9"/>
    <mergeCell ref="F304:L304"/>
    <mergeCell ref="F297:L297"/>
    <mergeCell ref="F298:L298"/>
    <mergeCell ref="D26:J27"/>
    <mergeCell ref="D29:J30"/>
    <mergeCell ref="D32:J33"/>
    <mergeCell ref="F305:L305"/>
    <mergeCell ref="F306:L306"/>
    <mergeCell ref="F307:L307"/>
    <mergeCell ref="F308:L308"/>
    <mergeCell ref="CY75:DE75"/>
    <mergeCell ref="J51:L52"/>
    <mergeCell ref="G54:J55"/>
    <mergeCell ref="F301:L301"/>
    <mergeCell ref="F302:L302"/>
    <mergeCell ref="F303:L303"/>
    <mergeCell ref="F315:L315"/>
    <mergeCell ref="F316:L316"/>
    <mergeCell ref="F309:L309"/>
    <mergeCell ref="F310:L310"/>
    <mergeCell ref="F311:L311"/>
    <mergeCell ref="F312:L312"/>
    <mergeCell ref="F314:L314"/>
    <mergeCell ref="F313:L313"/>
    <mergeCell ref="F290:L290"/>
    <mergeCell ref="F291:L291"/>
    <mergeCell ref="F292:L292"/>
    <mergeCell ref="F299:L299"/>
    <mergeCell ref="F300:L300"/>
    <mergeCell ref="F293:L293"/>
    <mergeCell ref="F294:L294"/>
    <mergeCell ref="F295:L295"/>
    <mergeCell ref="F296:L296"/>
    <mergeCell ref="F284:L284"/>
    <mergeCell ref="F285:L285"/>
    <mergeCell ref="F286:L286"/>
    <mergeCell ref="F287:L287"/>
    <mergeCell ref="F288:L288"/>
    <mergeCell ref="F289:L289"/>
    <mergeCell ref="F278:L278"/>
    <mergeCell ref="F279:L279"/>
    <mergeCell ref="F280:L280"/>
    <mergeCell ref="F281:L281"/>
    <mergeCell ref="F282:L282"/>
    <mergeCell ref="F283:L283"/>
    <mergeCell ref="F272:L272"/>
    <mergeCell ref="F273:L273"/>
    <mergeCell ref="F274:L274"/>
    <mergeCell ref="F275:L275"/>
    <mergeCell ref="F276:L276"/>
    <mergeCell ref="F277:L277"/>
    <mergeCell ref="F266:L266"/>
    <mergeCell ref="F267:L267"/>
    <mergeCell ref="F268:L268"/>
    <mergeCell ref="F269:L269"/>
    <mergeCell ref="F270:L270"/>
    <mergeCell ref="F271:L271"/>
    <mergeCell ref="F260:L260"/>
    <mergeCell ref="F261:L261"/>
    <mergeCell ref="F262:L262"/>
    <mergeCell ref="F263:L263"/>
    <mergeCell ref="F264:L264"/>
    <mergeCell ref="F265:L265"/>
    <mergeCell ref="F254:L254"/>
    <mergeCell ref="F255:L255"/>
    <mergeCell ref="F256:L256"/>
    <mergeCell ref="F257:L257"/>
    <mergeCell ref="F258:L258"/>
    <mergeCell ref="F259:L259"/>
    <mergeCell ref="F248:L248"/>
    <mergeCell ref="F249:L249"/>
    <mergeCell ref="F250:L250"/>
    <mergeCell ref="F251:L251"/>
    <mergeCell ref="F252:L252"/>
    <mergeCell ref="F253:L253"/>
    <mergeCell ref="F242:L242"/>
    <mergeCell ref="F243:L243"/>
    <mergeCell ref="F244:L244"/>
    <mergeCell ref="F245:L245"/>
    <mergeCell ref="F246:L246"/>
    <mergeCell ref="F247:L247"/>
    <mergeCell ref="F236:L236"/>
    <mergeCell ref="F237:L237"/>
    <mergeCell ref="F238:L238"/>
    <mergeCell ref="F239:L239"/>
    <mergeCell ref="F240:L240"/>
    <mergeCell ref="F241:L241"/>
    <mergeCell ref="F230:L230"/>
    <mergeCell ref="F231:L231"/>
    <mergeCell ref="F232:L232"/>
    <mergeCell ref="F233:L233"/>
    <mergeCell ref="F234:L234"/>
    <mergeCell ref="F235:L235"/>
    <mergeCell ref="F224:L224"/>
    <mergeCell ref="F225:L225"/>
    <mergeCell ref="F226:L226"/>
    <mergeCell ref="F227:L227"/>
    <mergeCell ref="F228:L228"/>
    <mergeCell ref="F229:L229"/>
    <mergeCell ref="F218:L218"/>
    <mergeCell ref="F219:L219"/>
    <mergeCell ref="F220:L220"/>
    <mergeCell ref="F221:L221"/>
    <mergeCell ref="F222:L222"/>
    <mergeCell ref="F223:L223"/>
    <mergeCell ref="F212:L212"/>
    <mergeCell ref="F213:L213"/>
    <mergeCell ref="F214:L214"/>
    <mergeCell ref="F215:L215"/>
    <mergeCell ref="F216:L216"/>
    <mergeCell ref="F217:L217"/>
    <mergeCell ref="F206:L206"/>
    <mergeCell ref="F207:L207"/>
    <mergeCell ref="F208:L208"/>
    <mergeCell ref="F209:L209"/>
    <mergeCell ref="F210:L210"/>
    <mergeCell ref="F211:L211"/>
    <mergeCell ref="F200:L200"/>
    <mergeCell ref="F201:L201"/>
    <mergeCell ref="F202:L202"/>
    <mergeCell ref="F203:L203"/>
    <mergeCell ref="F204:L204"/>
    <mergeCell ref="F205:L205"/>
    <mergeCell ref="F194:L194"/>
    <mergeCell ref="F195:L195"/>
    <mergeCell ref="F196:L196"/>
    <mergeCell ref="F197:L197"/>
    <mergeCell ref="F198:L198"/>
    <mergeCell ref="F199:L199"/>
    <mergeCell ref="F188:L188"/>
    <mergeCell ref="F189:L189"/>
    <mergeCell ref="F190:L190"/>
    <mergeCell ref="F191:L191"/>
    <mergeCell ref="F192:L192"/>
    <mergeCell ref="F193:L193"/>
    <mergeCell ref="F182:L182"/>
    <mergeCell ref="F183:L183"/>
    <mergeCell ref="F184:L184"/>
    <mergeCell ref="F185:L185"/>
    <mergeCell ref="F186:L186"/>
    <mergeCell ref="F187:L187"/>
    <mergeCell ref="F176:L176"/>
    <mergeCell ref="F177:L177"/>
    <mergeCell ref="F178:L178"/>
    <mergeCell ref="F179:L179"/>
    <mergeCell ref="F180:L180"/>
    <mergeCell ref="F181:L181"/>
    <mergeCell ref="F170:L170"/>
    <mergeCell ref="F171:L171"/>
    <mergeCell ref="F172:L172"/>
    <mergeCell ref="F173:L173"/>
    <mergeCell ref="F174:L174"/>
    <mergeCell ref="F175:L175"/>
    <mergeCell ref="F164:L164"/>
    <mergeCell ref="F165:L165"/>
    <mergeCell ref="F166:L166"/>
    <mergeCell ref="F167:L167"/>
    <mergeCell ref="F168:L168"/>
    <mergeCell ref="F169:L169"/>
    <mergeCell ref="F158:L158"/>
    <mergeCell ref="F159:L159"/>
    <mergeCell ref="F160:L160"/>
    <mergeCell ref="F161:L161"/>
    <mergeCell ref="F162:L162"/>
    <mergeCell ref="F163:L163"/>
    <mergeCell ref="F152:L152"/>
    <mergeCell ref="F153:L153"/>
    <mergeCell ref="F154:L154"/>
    <mergeCell ref="F155:L155"/>
    <mergeCell ref="F156:L156"/>
    <mergeCell ref="F157:L157"/>
    <mergeCell ref="F146:L146"/>
    <mergeCell ref="F147:L147"/>
    <mergeCell ref="F148:L148"/>
    <mergeCell ref="F149:L149"/>
    <mergeCell ref="F150:L150"/>
    <mergeCell ref="F151:L151"/>
    <mergeCell ref="F140:L140"/>
    <mergeCell ref="F141:L141"/>
    <mergeCell ref="F142:L142"/>
    <mergeCell ref="F143:L143"/>
    <mergeCell ref="F144:L144"/>
    <mergeCell ref="F145:L145"/>
    <mergeCell ref="F134:L134"/>
    <mergeCell ref="F135:L135"/>
    <mergeCell ref="F136:L136"/>
    <mergeCell ref="F137:L137"/>
    <mergeCell ref="F138:L138"/>
    <mergeCell ref="F139:L139"/>
    <mergeCell ref="F128:L128"/>
    <mergeCell ref="F129:L129"/>
    <mergeCell ref="F130:L130"/>
    <mergeCell ref="F131:L131"/>
    <mergeCell ref="F132:L132"/>
    <mergeCell ref="F133:L133"/>
    <mergeCell ref="F122:L122"/>
    <mergeCell ref="F123:L123"/>
    <mergeCell ref="F124:L124"/>
    <mergeCell ref="F125:L125"/>
    <mergeCell ref="F126:L126"/>
    <mergeCell ref="F127:L127"/>
    <mergeCell ref="F116:L116"/>
    <mergeCell ref="F117:L117"/>
    <mergeCell ref="F118:L118"/>
    <mergeCell ref="F119:L119"/>
    <mergeCell ref="F120:L120"/>
    <mergeCell ref="F121:L121"/>
    <mergeCell ref="F110:L110"/>
    <mergeCell ref="F111:L111"/>
    <mergeCell ref="F112:L112"/>
    <mergeCell ref="F113:L113"/>
    <mergeCell ref="F114:L114"/>
    <mergeCell ref="F115:L115"/>
    <mergeCell ref="F94:L94"/>
    <mergeCell ref="BU93:BZ93"/>
    <mergeCell ref="CA93:CF93"/>
    <mergeCell ref="CG93:CL93"/>
    <mergeCell ref="CM93:CR93"/>
    <mergeCell ref="AW93:BB93"/>
    <mergeCell ref="BC93:BH93"/>
    <mergeCell ref="BI93:BN93"/>
    <mergeCell ref="BO93:BT93"/>
    <mergeCell ref="BO92:BT92"/>
    <mergeCell ref="CG92:CL92"/>
    <mergeCell ref="CM92:CR92"/>
    <mergeCell ref="BU92:BZ92"/>
    <mergeCell ref="CA92:CF92"/>
    <mergeCell ref="CS93:CX93"/>
    <mergeCell ref="BC92:BH92"/>
    <mergeCell ref="CS92:CX92"/>
    <mergeCell ref="F93:L93"/>
    <mergeCell ref="M93:R93"/>
    <mergeCell ref="S93:X93"/>
    <mergeCell ref="Y93:AD93"/>
    <mergeCell ref="AE93:AJ93"/>
    <mergeCell ref="AK93:AP93"/>
    <mergeCell ref="AQ93:AV93"/>
    <mergeCell ref="BI92:BN92"/>
    <mergeCell ref="CM91:CR91"/>
    <mergeCell ref="CS91:CX91"/>
    <mergeCell ref="F92:L92"/>
    <mergeCell ref="M92:R92"/>
    <mergeCell ref="S92:X92"/>
    <mergeCell ref="Y92:AD92"/>
    <mergeCell ref="AE92:AJ92"/>
    <mergeCell ref="AK92:AP92"/>
    <mergeCell ref="AQ92:AV92"/>
    <mergeCell ref="AW92:BB92"/>
    <mergeCell ref="BC91:BH91"/>
    <mergeCell ref="BI91:BN91"/>
    <mergeCell ref="BO91:BT91"/>
    <mergeCell ref="BU91:BZ91"/>
    <mergeCell ref="CA91:CF91"/>
    <mergeCell ref="CG91:CL91"/>
    <mergeCell ref="CM90:CR90"/>
    <mergeCell ref="CS90:CX90"/>
    <mergeCell ref="F91:L91"/>
    <mergeCell ref="M91:R91"/>
    <mergeCell ref="S91:X91"/>
    <mergeCell ref="Y91:AD91"/>
    <mergeCell ref="AE91:AJ91"/>
    <mergeCell ref="AK91:AP91"/>
    <mergeCell ref="AQ91:AV91"/>
    <mergeCell ref="AW91:BB91"/>
    <mergeCell ref="BC90:BH90"/>
    <mergeCell ref="BI90:BN90"/>
    <mergeCell ref="BO90:BT90"/>
    <mergeCell ref="BU90:BZ90"/>
    <mergeCell ref="CA90:CF90"/>
    <mergeCell ref="CG90:CL90"/>
    <mergeCell ref="CM89:CR89"/>
    <mergeCell ref="CS89:CX89"/>
    <mergeCell ref="F90:L90"/>
    <mergeCell ref="M90:R90"/>
    <mergeCell ref="S90:X90"/>
    <mergeCell ref="Y90:AD90"/>
    <mergeCell ref="AE90:AJ90"/>
    <mergeCell ref="AK90:AP90"/>
    <mergeCell ref="AQ90:AV90"/>
    <mergeCell ref="AW90:BB90"/>
    <mergeCell ref="BC89:BH89"/>
    <mergeCell ref="BI89:BN89"/>
    <mergeCell ref="BO89:BT89"/>
    <mergeCell ref="BU89:BZ89"/>
    <mergeCell ref="CA89:CF89"/>
    <mergeCell ref="CG89:CL89"/>
    <mergeCell ref="CM88:CR88"/>
    <mergeCell ref="CS88:CX88"/>
    <mergeCell ref="F89:L89"/>
    <mergeCell ref="M89:R89"/>
    <mergeCell ref="S89:X89"/>
    <mergeCell ref="Y89:AD89"/>
    <mergeCell ref="AE89:AJ89"/>
    <mergeCell ref="AK89:AP89"/>
    <mergeCell ref="AQ89:AV89"/>
    <mergeCell ref="AW89:BB89"/>
    <mergeCell ref="BC88:BH88"/>
    <mergeCell ref="BI88:BN88"/>
    <mergeCell ref="BO88:BT88"/>
    <mergeCell ref="BU88:BZ88"/>
    <mergeCell ref="CA88:CF88"/>
    <mergeCell ref="CG88:CL88"/>
    <mergeCell ref="CM87:CR87"/>
    <mergeCell ref="CS87:CX87"/>
    <mergeCell ref="F88:L88"/>
    <mergeCell ref="M88:R88"/>
    <mergeCell ref="S88:X88"/>
    <mergeCell ref="Y88:AD88"/>
    <mergeCell ref="AE88:AJ88"/>
    <mergeCell ref="AK88:AP88"/>
    <mergeCell ref="AQ88:AV88"/>
    <mergeCell ref="AW88:BB88"/>
    <mergeCell ref="BC87:BH87"/>
    <mergeCell ref="BI87:BN87"/>
    <mergeCell ref="BO87:BT87"/>
    <mergeCell ref="BU87:BZ87"/>
    <mergeCell ref="CA87:CF87"/>
    <mergeCell ref="CG87:CL87"/>
    <mergeCell ref="CM86:CR86"/>
    <mergeCell ref="CS86:CX86"/>
    <mergeCell ref="F87:L87"/>
    <mergeCell ref="M87:R87"/>
    <mergeCell ref="S87:X87"/>
    <mergeCell ref="Y87:AD87"/>
    <mergeCell ref="AE87:AJ87"/>
    <mergeCell ref="AK87:AP87"/>
    <mergeCell ref="AQ87:AV87"/>
    <mergeCell ref="AW87:BB87"/>
    <mergeCell ref="BC86:BH86"/>
    <mergeCell ref="BI86:BN86"/>
    <mergeCell ref="BO86:BT86"/>
    <mergeCell ref="BU86:BZ86"/>
    <mergeCell ref="CA86:CF86"/>
    <mergeCell ref="CG86:CL86"/>
    <mergeCell ref="CM85:CR85"/>
    <mergeCell ref="CS85:CX85"/>
    <mergeCell ref="F86:L86"/>
    <mergeCell ref="M86:R86"/>
    <mergeCell ref="S86:X86"/>
    <mergeCell ref="Y86:AD86"/>
    <mergeCell ref="AE86:AJ86"/>
    <mergeCell ref="AK86:AP86"/>
    <mergeCell ref="AQ86:AV86"/>
    <mergeCell ref="AW86:BB86"/>
    <mergeCell ref="BC85:BH85"/>
    <mergeCell ref="BI85:BN85"/>
    <mergeCell ref="BO85:BT85"/>
    <mergeCell ref="BU85:BZ85"/>
    <mergeCell ref="CA85:CF85"/>
    <mergeCell ref="CG85:CL85"/>
    <mergeCell ref="CM84:CR84"/>
    <mergeCell ref="CS84:CX84"/>
    <mergeCell ref="F85:L85"/>
    <mergeCell ref="M85:R85"/>
    <mergeCell ref="S85:X85"/>
    <mergeCell ref="Y85:AD85"/>
    <mergeCell ref="AE85:AJ85"/>
    <mergeCell ref="AK85:AP85"/>
    <mergeCell ref="AQ85:AV85"/>
    <mergeCell ref="AW85:BB85"/>
    <mergeCell ref="BC84:BH84"/>
    <mergeCell ref="BI84:BN84"/>
    <mergeCell ref="BO84:BT84"/>
    <mergeCell ref="BU84:BZ84"/>
    <mergeCell ref="CA84:CF84"/>
    <mergeCell ref="CG84:CL84"/>
    <mergeCell ref="CM83:CR83"/>
    <mergeCell ref="CS83:CX83"/>
    <mergeCell ref="F84:L84"/>
    <mergeCell ref="M84:R84"/>
    <mergeCell ref="S84:X84"/>
    <mergeCell ref="Y84:AD84"/>
    <mergeCell ref="AE84:AJ84"/>
    <mergeCell ref="AK84:AP84"/>
    <mergeCell ref="AQ84:AV84"/>
    <mergeCell ref="AW84:BB84"/>
    <mergeCell ref="BC83:BH83"/>
    <mergeCell ref="BI83:BN83"/>
    <mergeCell ref="BO83:BT83"/>
    <mergeCell ref="BU83:BZ83"/>
    <mergeCell ref="CA83:CF83"/>
    <mergeCell ref="CG83:CL83"/>
    <mergeCell ref="CM82:CR82"/>
    <mergeCell ref="CS82:CX82"/>
    <mergeCell ref="F83:L83"/>
    <mergeCell ref="M83:R83"/>
    <mergeCell ref="S83:X83"/>
    <mergeCell ref="Y83:AD83"/>
    <mergeCell ref="AE83:AJ83"/>
    <mergeCell ref="AK83:AP83"/>
    <mergeCell ref="AQ83:AV83"/>
    <mergeCell ref="AW83:BB83"/>
    <mergeCell ref="BC82:BH82"/>
    <mergeCell ref="BI82:BN82"/>
    <mergeCell ref="BO82:BT82"/>
    <mergeCell ref="BU82:BZ82"/>
    <mergeCell ref="CA82:CF82"/>
    <mergeCell ref="CG82:CL82"/>
    <mergeCell ref="CM81:CR81"/>
    <mergeCell ref="CS81:CX81"/>
    <mergeCell ref="F82:L82"/>
    <mergeCell ref="M82:R82"/>
    <mergeCell ref="S82:X82"/>
    <mergeCell ref="Y82:AD82"/>
    <mergeCell ref="AE82:AJ82"/>
    <mergeCell ref="AK82:AP82"/>
    <mergeCell ref="AQ82:AV82"/>
    <mergeCell ref="AW82:BB82"/>
    <mergeCell ref="BC81:BH81"/>
    <mergeCell ref="BI81:BN81"/>
    <mergeCell ref="BO81:BT81"/>
    <mergeCell ref="BU81:BZ81"/>
    <mergeCell ref="CA81:CF81"/>
    <mergeCell ref="CG81:CL81"/>
    <mergeCell ref="CM80:CR80"/>
    <mergeCell ref="CS80:CX80"/>
    <mergeCell ref="F81:L81"/>
    <mergeCell ref="M81:R81"/>
    <mergeCell ref="S81:X81"/>
    <mergeCell ref="Y81:AD81"/>
    <mergeCell ref="AE81:AJ81"/>
    <mergeCell ref="AK81:AP81"/>
    <mergeCell ref="AQ81:AV81"/>
    <mergeCell ref="AW81:BB81"/>
    <mergeCell ref="BC80:BH80"/>
    <mergeCell ref="BI80:BN80"/>
    <mergeCell ref="BO80:BT80"/>
    <mergeCell ref="BU80:BZ80"/>
    <mergeCell ref="CA80:CF80"/>
    <mergeCell ref="CG80:CL80"/>
    <mergeCell ref="CM79:CR79"/>
    <mergeCell ref="CS79:CX79"/>
    <mergeCell ref="F80:L80"/>
    <mergeCell ref="M80:R80"/>
    <mergeCell ref="S80:X80"/>
    <mergeCell ref="Y80:AD80"/>
    <mergeCell ref="AE80:AJ80"/>
    <mergeCell ref="AK80:AP80"/>
    <mergeCell ref="AQ80:AV80"/>
    <mergeCell ref="AW80:BB80"/>
    <mergeCell ref="BC79:BH79"/>
    <mergeCell ref="BI79:BN79"/>
    <mergeCell ref="BO79:BT79"/>
    <mergeCell ref="BU79:BZ79"/>
    <mergeCell ref="CA79:CF79"/>
    <mergeCell ref="CG79:CL79"/>
    <mergeCell ref="F77:L77"/>
    <mergeCell ref="D78:CX78"/>
    <mergeCell ref="F79:L79"/>
    <mergeCell ref="M79:R79"/>
    <mergeCell ref="S79:X79"/>
    <mergeCell ref="Y79:AD79"/>
    <mergeCell ref="AE79:AJ79"/>
    <mergeCell ref="AK79:AP79"/>
    <mergeCell ref="AQ79:AV79"/>
    <mergeCell ref="AW79:BB79"/>
    <mergeCell ref="BU75:BZ75"/>
    <mergeCell ref="CA75:CF75"/>
    <mergeCell ref="CG75:CL75"/>
    <mergeCell ref="CM75:CR75"/>
    <mergeCell ref="CS75:CX75"/>
    <mergeCell ref="F76:L76"/>
    <mergeCell ref="AK75:AP75"/>
    <mergeCell ref="AQ75:AV75"/>
    <mergeCell ref="AW75:BB75"/>
    <mergeCell ref="BC75:BH75"/>
    <mergeCell ref="BI75:BN75"/>
    <mergeCell ref="BO75:BT75"/>
    <mergeCell ref="BU74:BZ74"/>
    <mergeCell ref="CA74:CF74"/>
    <mergeCell ref="CG74:CL74"/>
    <mergeCell ref="CM74:CR74"/>
    <mergeCell ref="CS74:CX74"/>
    <mergeCell ref="F75:L75"/>
    <mergeCell ref="M75:R75"/>
    <mergeCell ref="S75:X75"/>
    <mergeCell ref="Y75:AD75"/>
    <mergeCell ref="AE75:AJ75"/>
    <mergeCell ref="AK74:AP74"/>
    <mergeCell ref="AQ74:AV74"/>
    <mergeCell ref="AW74:BB74"/>
    <mergeCell ref="BC74:BH74"/>
    <mergeCell ref="BI74:BN74"/>
    <mergeCell ref="BO74:BT74"/>
    <mergeCell ref="BU73:BZ73"/>
    <mergeCell ref="CA73:CF73"/>
    <mergeCell ref="CG73:CL73"/>
    <mergeCell ref="CM73:CR73"/>
    <mergeCell ref="CS73:CX73"/>
    <mergeCell ref="F74:L74"/>
    <mergeCell ref="M74:R74"/>
    <mergeCell ref="S74:X74"/>
    <mergeCell ref="Y74:AD74"/>
    <mergeCell ref="AE74:AJ74"/>
    <mergeCell ref="AK73:AP73"/>
    <mergeCell ref="AQ73:AV73"/>
    <mergeCell ref="AW73:BB73"/>
    <mergeCell ref="BC73:BH73"/>
    <mergeCell ref="BI73:BN73"/>
    <mergeCell ref="BO73:BT73"/>
    <mergeCell ref="BU72:BZ72"/>
    <mergeCell ref="CA72:CF72"/>
    <mergeCell ref="CG72:CL72"/>
    <mergeCell ref="CM72:CR72"/>
    <mergeCell ref="CS72:CX72"/>
    <mergeCell ref="F73:L73"/>
    <mergeCell ref="M73:R73"/>
    <mergeCell ref="S73:X73"/>
    <mergeCell ref="Y73:AD73"/>
    <mergeCell ref="AE73:AJ73"/>
    <mergeCell ref="AK72:AP72"/>
    <mergeCell ref="AQ72:AV72"/>
    <mergeCell ref="AW72:BB72"/>
    <mergeCell ref="BC72:BH72"/>
    <mergeCell ref="BI72:BN72"/>
    <mergeCell ref="BO72:BT72"/>
    <mergeCell ref="BU71:BZ71"/>
    <mergeCell ref="CA71:CF71"/>
    <mergeCell ref="CG71:CL71"/>
    <mergeCell ref="CM71:CR71"/>
    <mergeCell ref="CS71:CX71"/>
    <mergeCell ref="F72:L72"/>
    <mergeCell ref="M72:R72"/>
    <mergeCell ref="S72:X72"/>
    <mergeCell ref="Y72:AD72"/>
    <mergeCell ref="AE72:AJ72"/>
    <mergeCell ref="AK71:AP71"/>
    <mergeCell ref="AQ71:AV71"/>
    <mergeCell ref="AW71:BB71"/>
    <mergeCell ref="BC71:BH71"/>
    <mergeCell ref="BI71:BN71"/>
    <mergeCell ref="BO71:BT71"/>
    <mergeCell ref="BU70:BZ70"/>
    <mergeCell ref="CA70:CF70"/>
    <mergeCell ref="CG70:CL70"/>
    <mergeCell ref="CM70:CR70"/>
    <mergeCell ref="CS70:CX70"/>
    <mergeCell ref="F71:L71"/>
    <mergeCell ref="M71:R71"/>
    <mergeCell ref="S71:X71"/>
    <mergeCell ref="Y71:AD71"/>
    <mergeCell ref="AE71:AJ71"/>
    <mergeCell ref="AK70:AP70"/>
    <mergeCell ref="AQ70:AV70"/>
    <mergeCell ref="AW70:BB70"/>
    <mergeCell ref="BC70:BH70"/>
    <mergeCell ref="BI70:BN70"/>
    <mergeCell ref="BO70:BT70"/>
    <mergeCell ref="BU69:BZ69"/>
    <mergeCell ref="CA69:CF69"/>
    <mergeCell ref="CG69:CL69"/>
    <mergeCell ref="CM69:CR69"/>
    <mergeCell ref="CS69:CX69"/>
    <mergeCell ref="F70:L70"/>
    <mergeCell ref="M70:R70"/>
    <mergeCell ref="S70:X70"/>
    <mergeCell ref="Y70:AD70"/>
    <mergeCell ref="AE70:AJ70"/>
    <mergeCell ref="AK69:AP69"/>
    <mergeCell ref="AQ69:AV69"/>
    <mergeCell ref="AW69:BB69"/>
    <mergeCell ref="BC69:BH69"/>
    <mergeCell ref="BI69:BN69"/>
    <mergeCell ref="BO69:BT69"/>
    <mergeCell ref="BU68:BZ68"/>
    <mergeCell ref="CA68:CF68"/>
    <mergeCell ref="CG68:CL68"/>
    <mergeCell ref="CM68:CR68"/>
    <mergeCell ref="CS68:CX68"/>
    <mergeCell ref="F69:L69"/>
    <mergeCell ref="M69:R69"/>
    <mergeCell ref="S69:X69"/>
    <mergeCell ref="Y69:AD69"/>
    <mergeCell ref="AE69:AJ69"/>
    <mergeCell ref="AK68:AP68"/>
    <mergeCell ref="AQ68:AV68"/>
    <mergeCell ref="AW68:BB68"/>
    <mergeCell ref="BC68:BH68"/>
    <mergeCell ref="BI68:BN68"/>
    <mergeCell ref="BO68:BT68"/>
    <mergeCell ref="BU67:BZ67"/>
    <mergeCell ref="CA67:CF67"/>
    <mergeCell ref="CG67:CL67"/>
    <mergeCell ref="CM67:CR67"/>
    <mergeCell ref="CS67:CX67"/>
    <mergeCell ref="F68:L68"/>
    <mergeCell ref="M68:R68"/>
    <mergeCell ref="S68:X68"/>
    <mergeCell ref="Y68:AD68"/>
    <mergeCell ref="AE68:AJ68"/>
    <mergeCell ref="AK67:AP67"/>
    <mergeCell ref="AQ67:AV67"/>
    <mergeCell ref="AW67:BB67"/>
    <mergeCell ref="BC67:BH67"/>
    <mergeCell ref="BI67:BN67"/>
    <mergeCell ref="BO67:BT67"/>
    <mergeCell ref="BU66:BZ66"/>
    <mergeCell ref="CA66:CF66"/>
    <mergeCell ref="CG66:CL66"/>
    <mergeCell ref="CM66:CR66"/>
    <mergeCell ref="CS66:CX66"/>
    <mergeCell ref="F67:L67"/>
    <mergeCell ref="M67:R67"/>
    <mergeCell ref="S67:X67"/>
    <mergeCell ref="Y67:AD67"/>
    <mergeCell ref="AE67:AJ67"/>
    <mergeCell ref="AK66:AP66"/>
    <mergeCell ref="AQ66:AV66"/>
    <mergeCell ref="AW66:BB66"/>
    <mergeCell ref="BC66:BH66"/>
    <mergeCell ref="BI66:BN66"/>
    <mergeCell ref="BO66:BT66"/>
    <mergeCell ref="BU65:BZ65"/>
    <mergeCell ref="CA65:CF65"/>
    <mergeCell ref="CG65:CL65"/>
    <mergeCell ref="CM65:CR65"/>
    <mergeCell ref="CS65:CX65"/>
    <mergeCell ref="F66:L66"/>
    <mergeCell ref="M66:R66"/>
    <mergeCell ref="S66:X66"/>
    <mergeCell ref="Y66:AD66"/>
    <mergeCell ref="AE66:AJ66"/>
    <mergeCell ref="AK65:AP65"/>
    <mergeCell ref="AQ65:AV65"/>
    <mergeCell ref="AW65:BB65"/>
    <mergeCell ref="BC65:BH65"/>
    <mergeCell ref="BI65:BN65"/>
    <mergeCell ref="BO65:BT65"/>
    <mergeCell ref="BU64:BZ64"/>
    <mergeCell ref="CA64:CF64"/>
    <mergeCell ref="CG64:CL64"/>
    <mergeCell ref="CM64:CR64"/>
    <mergeCell ref="CS64:CX64"/>
    <mergeCell ref="F65:L65"/>
    <mergeCell ref="M65:R65"/>
    <mergeCell ref="S65:X65"/>
    <mergeCell ref="Y65:AD65"/>
    <mergeCell ref="AE65:AJ65"/>
    <mergeCell ref="AK64:AP64"/>
    <mergeCell ref="AQ64:AV64"/>
    <mergeCell ref="AW64:BB64"/>
    <mergeCell ref="BC64:BH64"/>
    <mergeCell ref="BI64:BN64"/>
    <mergeCell ref="BO64:BT64"/>
    <mergeCell ref="BU63:BZ63"/>
    <mergeCell ref="CA63:CF63"/>
    <mergeCell ref="CG63:CL63"/>
    <mergeCell ref="CM63:CR63"/>
    <mergeCell ref="CS63:CX63"/>
    <mergeCell ref="F64:L64"/>
    <mergeCell ref="M64:R64"/>
    <mergeCell ref="S64:X64"/>
    <mergeCell ref="Y64:AD64"/>
    <mergeCell ref="AE64:AJ64"/>
    <mergeCell ref="AK63:AP63"/>
    <mergeCell ref="AQ63:AV63"/>
    <mergeCell ref="AW63:BB63"/>
    <mergeCell ref="BC63:BH63"/>
    <mergeCell ref="BI63:BN63"/>
    <mergeCell ref="BO63:BT63"/>
    <mergeCell ref="BU62:BZ62"/>
    <mergeCell ref="CA62:CF62"/>
    <mergeCell ref="CG62:CL62"/>
    <mergeCell ref="CM62:CR62"/>
    <mergeCell ref="CS62:CX62"/>
    <mergeCell ref="F63:L63"/>
    <mergeCell ref="M63:R63"/>
    <mergeCell ref="S63:X63"/>
    <mergeCell ref="Y63:AD63"/>
    <mergeCell ref="AE63:AJ63"/>
    <mergeCell ref="AK62:AP62"/>
    <mergeCell ref="AQ62:AV62"/>
    <mergeCell ref="AW62:BB62"/>
    <mergeCell ref="BC62:BH62"/>
    <mergeCell ref="BI62:BN62"/>
    <mergeCell ref="BO62:BT62"/>
    <mergeCell ref="BU61:BZ61"/>
    <mergeCell ref="CA61:CF61"/>
    <mergeCell ref="CG61:CL61"/>
    <mergeCell ref="CM61:CR61"/>
    <mergeCell ref="CS61:CX61"/>
    <mergeCell ref="F62:L62"/>
    <mergeCell ref="M62:R62"/>
    <mergeCell ref="S62:X62"/>
    <mergeCell ref="Y62:AD62"/>
    <mergeCell ref="AE62:AJ62"/>
    <mergeCell ref="AK61:AP61"/>
    <mergeCell ref="AQ61:AV61"/>
    <mergeCell ref="AW61:BB61"/>
    <mergeCell ref="BC61:BH61"/>
    <mergeCell ref="BI61:BN61"/>
    <mergeCell ref="BO61:BT61"/>
    <mergeCell ref="BU60:BZ60"/>
    <mergeCell ref="CA60:CF60"/>
    <mergeCell ref="CG60:CL60"/>
    <mergeCell ref="CM60:CR60"/>
    <mergeCell ref="CS60:CX60"/>
    <mergeCell ref="F61:L61"/>
    <mergeCell ref="M61:R61"/>
    <mergeCell ref="S61:X61"/>
    <mergeCell ref="Y61:AD61"/>
    <mergeCell ref="AE61:AJ61"/>
    <mergeCell ref="AK60:AP60"/>
    <mergeCell ref="AQ60:AV60"/>
    <mergeCell ref="AW60:BB60"/>
    <mergeCell ref="BC60:BH60"/>
    <mergeCell ref="BI60:BN60"/>
    <mergeCell ref="BO60:BT60"/>
    <mergeCell ref="BU59:BZ59"/>
    <mergeCell ref="CA59:CF59"/>
    <mergeCell ref="CG59:CL59"/>
    <mergeCell ref="CM59:CR59"/>
    <mergeCell ref="CS59:CX59"/>
    <mergeCell ref="F60:L60"/>
    <mergeCell ref="M60:R60"/>
    <mergeCell ref="S60:X60"/>
    <mergeCell ref="Y60:AD60"/>
    <mergeCell ref="AE60:AJ60"/>
    <mergeCell ref="AK59:AP59"/>
    <mergeCell ref="AQ59:AV59"/>
    <mergeCell ref="AW59:BB59"/>
    <mergeCell ref="BC59:BH59"/>
    <mergeCell ref="BI59:BN59"/>
    <mergeCell ref="BO59:BT59"/>
    <mergeCell ref="BU58:BZ58"/>
    <mergeCell ref="CA58:CF58"/>
    <mergeCell ref="CG58:CL58"/>
    <mergeCell ref="CM58:CR58"/>
    <mergeCell ref="CS58:CX58"/>
    <mergeCell ref="F59:L59"/>
    <mergeCell ref="M59:R59"/>
    <mergeCell ref="S59:X59"/>
    <mergeCell ref="Y59:AD59"/>
    <mergeCell ref="AE59:AJ59"/>
    <mergeCell ref="AK58:AP58"/>
    <mergeCell ref="AQ58:AV58"/>
    <mergeCell ref="AW58:BB58"/>
    <mergeCell ref="BC58:BH58"/>
    <mergeCell ref="BI58:BN58"/>
    <mergeCell ref="BO58:BT58"/>
    <mergeCell ref="BU57:BZ57"/>
    <mergeCell ref="CA57:CF57"/>
    <mergeCell ref="CG57:CL57"/>
    <mergeCell ref="CM57:CR57"/>
    <mergeCell ref="CS57:CX57"/>
    <mergeCell ref="F58:L58"/>
    <mergeCell ref="M58:R58"/>
    <mergeCell ref="S58:X58"/>
    <mergeCell ref="Y58:AD58"/>
    <mergeCell ref="AE58:AJ58"/>
    <mergeCell ref="AK57:AP57"/>
    <mergeCell ref="AQ57:AV57"/>
    <mergeCell ref="AW57:BB57"/>
    <mergeCell ref="BC57:BH57"/>
    <mergeCell ref="BI57:BN57"/>
    <mergeCell ref="BO57:BT57"/>
    <mergeCell ref="BU56:BZ56"/>
    <mergeCell ref="CA56:CF56"/>
    <mergeCell ref="CG56:CL56"/>
    <mergeCell ref="CM56:CR56"/>
    <mergeCell ref="CS56:CX56"/>
    <mergeCell ref="F57:L57"/>
    <mergeCell ref="M57:R57"/>
    <mergeCell ref="S57:X57"/>
    <mergeCell ref="Y57:AD57"/>
    <mergeCell ref="AE57:AJ57"/>
    <mergeCell ref="AK56:AP56"/>
    <mergeCell ref="AQ56:AV56"/>
    <mergeCell ref="AW56:BB56"/>
    <mergeCell ref="BC56:BH56"/>
    <mergeCell ref="BI56:BN56"/>
    <mergeCell ref="BO56:BT56"/>
    <mergeCell ref="CS49:CX55"/>
    <mergeCell ref="BI49:BN55"/>
    <mergeCell ref="BO49:BT55"/>
    <mergeCell ref="BU49:BZ55"/>
    <mergeCell ref="CA49:CF55"/>
    <mergeCell ref="F56:L56"/>
    <mergeCell ref="M56:R56"/>
    <mergeCell ref="S56:X56"/>
    <mergeCell ref="Y56:AD56"/>
    <mergeCell ref="AE56:AJ56"/>
    <mergeCell ref="AK49:AP55"/>
    <mergeCell ref="AQ49:AV55"/>
    <mergeCell ref="AW49:BB55"/>
    <mergeCell ref="BC49:BH55"/>
    <mergeCell ref="CG49:CL55"/>
    <mergeCell ref="CM49:CR55"/>
    <mergeCell ref="CM48:CR48"/>
    <mergeCell ref="CS48:CX48"/>
    <mergeCell ref="B49:B55"/>
    <mergeCell ref="C49:C55"/>
    <mergeCell ref="D49:D55"/>
    <mergeCell ref="E49:E55"/>
    <mergeCell ref="M49:R55"/>
    <mergeCell ref="S49:X55"/>
    <mergeCell ref="Y49:AD55"/>
    <mergeCell ref="AE49:AJ55"/>
    <mergeCell ref="BC48:BH48"/>
    <mergeCell ref="BI48:BN48"/>
    <mergeCell ref="BO48:BT48"/>
    <mergeCell ref="BU48:BZ48"/>
    <mergeCell ref="CA48:CF48"/>
    <mergeCell ref="CG48:CL48"/>
    <mergeCell ref="CM47:CR47"/>
    <mergeCell ref="CS47:CX47"/>
    <mergeCell ref="F48:L48"/>
    <mergeCell ref="M48:R48"/>
    <mergeCell ref="S48:X48"/>
    <mergeCell ref="Y48:AD48"/>
    <mergeCell ref="AE48:AJ48"/>
    <mergeCell ref="AK48:AP48"/>
    <mergeCell ref="AQ48:AV48"/>
    <mergeCell ref="AW48:BB48"/>
    <mergeCell ref="BC47:BH47"/>
    <mergeCell ref="BI47:BN47"/>
    <mergeCell ref="BO47:BT47"/>
    <mergeCell ref="BU47:BZ47"/>
    <mergeCell ref="CA47:CF47"/>
    <mergeCell ref="CG47:CL47"/>
    <mergeCell ref="CK43:CN44"/>
    <mergeCell ref="CQ43:CT44"/>
    <mergeCell ref="F47:L47"/>
    <mergeCell ref="M47:R47"/>
    <mergeCell ref="S47:X47"/>
    <mergeCell ref="Y47:AD47"/>
    <mergeCell ref="AE47:AJ47"/>
    <mergeCell ref="AK47:AP47"/>
    <mergeCell ref="AQ47:AV47"/>
    <mergeCell ref="AW47:BB47"/>
    <mergeCell ref="BA43:BD44"/>
    <mergeCell ref="BG43:BJ44"/>
    <mergeCell ref="BM43:BP44"/>
    <mergeCell ref="BS43:BV44"/>
    <mergeCell ref="BY43:CB44"/>
    <mergeCell ref="CE43:CH44"/>
    <mergeCell ref="Q43:T44"/>
    <mergeCell ref="W43:Z44"/>
    <mergeCell ref="AC43:AF44"/>
    <mergeCell ref="AI43:AL44"/>
    <mergeCell ref="AO43:AR44"/>
    <mergeCell ref="AU43:AX44"/>
    <mergeCell ref="BJ40:BM41"/>
    <mergeCell ref="BP40:BS41"/>
    <mergeCell ref="BV40:BY41"/>
    <mergeCell ref="CB40:CE41"/>
    <mergeCell ref="CH40:CK41"/>
    <mergeCell ref="CN40:CQ41"/>
    <mergeCell ref="BY37:CB38"/>
    <mergeCell ref="CE37:CH38"/>
    <mergeCell ref="CK37:CN38"/>
    <mergeCell ref="T40:W41"/>
    <mergeCell ref="Z40:AC41"/>
    <mergeCell ref="AF40:AI41"/>
    <mergeCell ref="AL40:AO41"/>
    <mergeCell ref="AR40:AU41"/>
    <mergeCell ref="AX40:BA41"/>
    <mergeCell ref="BD40:BG41"/>
    <mergeCell ref="CH34:CK35"/>
    <mergeCell ref="W37:Z38"/>
    <mergeCell ref="AC37:AF38"/>
    <mergeCell ref="AI37:AL38"/>
    <mergeCell ref="AO37:AR38"/>
    <mergeCell ref="AU37:AX38"/>
    <mergeCell ref="BA37:BD38"/>
    <mergeCell ref="BG37:BJ38"/>
    <mergeCell ref="BM37:BP38"/>
    <mergeCell ref="BS37:BV38"/>
    <mergeCell ref="BJ34:BM35"/>
    <mergeCell ref="BP34:BS35"/>
    <mergeCell ref="AX34:BA35"/>
    <mergeCell ref="BD34:BG35"/>
    <mergeCell ref="BV34:BY35"/>
    <mergeCell ref="CB34:CE35"/>
    <mergeCell ref="Z34:AC35"/>
    <mergeCell ref="AF34:AI35"/>
    <mergeCell ref="AC31:AF32"/>
    <mergeCell ref="AI31:AL32"/>
    <mergeCell ref="AO31:AR32"/>
    <mergeCell ref="AU31:AX32"/>
    <mergeCell ref="AL34:AO35"/>
    <mergeCell ref="AR34:AU35"/>
    <mergeCell ref="BS19:BV20"/>
    <mergeCell ref="BM31:BP32"/>
    <mergeCell ref="BV28:BY29"/>
    <mergeCell ref="CB28:CE29"/>
    <mergeCell ref="BS31:BV32"/>
    <mergeCell ref="BY31:CB32"/>
    <mergeCell ref="CE31:CH32"/>
    <mergeCell ref="BY25:CB26"/>
    <mergeCell ref="BJ22:BM23"/>
    <mergeCell ref="BP22:BS23"/>
    <mergeCell ref="BP28:BS29"/>
    <mergeCell ref="BA25:BD26"/>
    <mergeCell ref="BG25:BJ26"/>
    <mergeCell ref="BM25:BP26"/>
    <mergeCell ref="BS25:BV26"/>
    <mergeCell ref="AX28:BA29"/>
    <mergeCell ref="AL22:AO23"/>
    <mergeCell ref="AR22:AU23"/>
    <mergeCell ref="AX22:BA23"/>
    <mergeCell ref="BD22:BG23"/>
    <mergeCell ref="BD28:BG29"/>
    <mergeCell ref="BJ28:BM29"/>
    <mergeCell ref="AR16:AU17"/>
    <mergeCell ref="AX16:BA17"/>
    <mergeCell ref="BD16:BG17"/>
    <mergeCell ref="BJ16:BM17"/>
    <mergeCell ref="BV22:BY23"/>
    <mergeCell ref="AI25:AL26"/>
    <mergeCell ref="AO25:AR26"/>
    <mergeCell ref="BA19:BD20"/>
    <mergeCell ref="BG19:BJ20"/>
    <mergeCell ref="BM19:BP20"/>
    <mergeCell ref="BD4:BG5"/>
    <mergeCell ref="AX10:BA11"/>
    <mergeCell ref="BD10:BG11"/>
    <mergeCell ref="AU25:AX26"/>
    <mergeCell ref="BA7:BD8"/>
    <mergeCell ref="BG7:BJ8"/>
    <mergeCell ref="AU13:AX14"/>
    <mergeCell ref="BA13:BD14"/>
    <mergeCell ref="BG13:BJ14"/>
    <mergeCell ref="AU19:AX20"/>
    <mergeCell ref="BG31:BJ32"/>
    <mergeCell ref="B11:C12"/>
    <mergeCell ref="AF28:AI29"/>
    <mergeCell ref="AL28:AO29"/>
    <mergeCell ref="AR28:AU29"/>
    <mergeCell ref="BA31:BD32"/>
    <mergeCell ref="BJ10:BM11"/>
    <mergeCell ref="BM13:BP14"/>
    <mergeCell ref="BP16:BS17"/>
    <mergeCell ref="AO19:AR20"/>
  </mergeCells>
  <phoneticPr fontId="1" type="noConversion"/>
  <conditionalFormatting sqref="M73 S73 Y73 AE73 AK73 AQ73 AW73 BC73 BI73 BO73 BU73 CA73 CG73 CM73 CS73">
    <cfRule type="expression" dxfId="21" priority="1" stopIfTrue="1">
      <formula>AND(NOT(ISBLANK(M$49)), M$73 &lt;=0)</formula>
    </cfRule>
    <cfRule type="cellIs" dxfId="20" priority="2" stopIfTrue="1" operator="equal">
      <formula>1</formula>
    </cfRule>
  </conditionalFormatting>
  <conditionalFormatting sqref="C56:C70">
    <cfRule type="expression" dxfId="19" priority="3" stopIfTrue="1">
      <formula>AND($F56&lt;&gt;"", $C56&lt;=0)</formula>
    </cfRule>
    <cfRule type="cellIs" dxfId="18" priority="4" stopIfTrue="1" operator="equal">
      <formula>1</formula>
    </cfRule>
  </conditionalFormatting>
  <conditionalFormatting sqref="M76:CX77 O94:CX316 M94:N94 M110:N316">
    <cfRule type="expression" dxfId="17" priority="5" stopIfTrue="1">
      <formula>AND(ISNUMBER(#REF!), ISNUMBER(#REF!))</formula>
    </cfRule>
  </conditionalFormatting>
  <conditionalFormatting sqref="M74:CX74">
    <cfRule type="expression" dxfId="16" priority="6" stopIfTrue="1">
      <formula>ISNUMBER(#REF!)</formula>
    </cfRule>
  </conditionalFormatting>
  <conditionalFormatting sqref="BU71:BU72 CA71:CA72 CG71:CG72 BO71:BO72 AW71:AW72 BC71:BC72 BI71:BI72 AQ71:AQ72 Y71:Y72 AE71:AE72 AK71:AK72 M71:S72 CS71:CS72 CM71:CM72">
    <cfRule type="expression" dxfId="15" priority="7" stopIfTrue="1">
      <formula>ISNUMBER(#REF!)</formula>
    </cfRule>
  </conditionalFormatting>
  <conditionalFormatting sqref="F76:L77 F94:L94 F110:L316">
    <cfRule type="expression" dxfId="14" priority="8" stopIfTrue="1">
      <formula>ISNUMBER(#REF!)</formula>
    </cfRule>
  </conditionalFormatting>
  <conditionalFormatting sqref="D76:E77 B76:C78 B94:D316 E94 E110:E316">
    <cfRule type="expression" dxfId="13" priority="9" stopIfTrue="1">
      <formula>ISNUMBER(#REF!)</formula>
    </cfRule>
    <cfRule type="expression" dxfId="12" priority="10" stopIfTrue="1">
      <formula>NOT(ISNUMBER(#REF!))</formula>
    </cfRule>
  </conditionalFormatting>
  <conditionalFormatting sqref="M75:CX75">
    <cfRule type="expression" dxfId="11"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E1A0FBA6-AA59-4D94-B1CA-6BBD7C2231C7}">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715EA255-DDF7-4E77-9FF3-D78AB94528EA}">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8F611B42-B6B7-4D52-A9DF-CB63E23280DD}">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46B5245B-8448-49D0-84B0-A0F6B58B145A}">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67D62-B65D-4325-A94A-E36059397C84}">
  <dimension ref="A1:DI316"/>
  <sheetViews>
    <sheetView zoomScale="63" zoomScaleNormal="63" zoomScaleSheetLayoutView="63" workbookViewId="0">
      <selection activeCell="D2" sqref="D2:J3"/>
    </sheetView>
  </sheetViews>
  <sheetFormatPr baseColWidth="10" defaultColWidth="5" defaultRowHeight="10" x14ac:dyDescent="0.2"/>
  <cols>
    <col min="1" max="1" width="4.453125" style="3" customWidth="1"/>
    <col min="2" max="2" width="3.26953125" style="4" customWidth="1"/>
    <col min="3" max="3" width="4.453125" style="4" customWidth="1"/>
    <col min="4" max="5" width="5.453125" style="41" customWidth="1"/>
    <col min="6" max="12" width="8" style="5" customWidth="1"/>
    <col min="13" max="102" width="1" style="3" customWidth="1"/>
    <col min="103" max="109" width="5.26953125" style="3" customWidth="1"/>
    <col min="110" max="110" width="4.81640625" style="3" customWidth="1"/>
    <col min="111" max="16384" width="5" style="3"/>
  </cols>
  <sheetData>
    <row r="1" spans="1:111" x14ac:dyDescent="0.2">
      <c r="A1" s="17"/>
      <c r="B1" s="116"/>
      <c r="C1" s="116"/>
      <c r="D1" s="117"/>
      <c r="E1" s="117"/>
      <c r="F1" s="118"/>
      <c r="G1" s="118"/>
      <c r="H1" s="121"/>
      <c r="I1" s="121"/>
      <c r="J1" s="121"/>
      <c r="K1" s="121"/>
      <c r="L1" s="121"/>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c r="BA1" s="122"/>
      <c r="BB1" s="122"/>
      <c r="BC1" s="122"/>
      <c r="BD1" s="122"/>
      <c r="BE1" s="122"/>
      <c r="BF1" s="122"/>
      <c r="BG1" s="122"/>
      <c r="BH1" s="122"/>
      <c r="BI1" s="122"/>
      <c r="BJ1" s="122"/>
      <c r="BK1" s="122"/>
      <c r="BL1" s="122"/>
      <c r="BM1" s="122"/>
      <c r="BN1" s="122"/>
      <c r="BO1" s="122"/>
      <c r="BP1" s="122"/>
      <c r="BQ1" s="122"/>
      <c r="BR1" s="122"/>
      <c r="BS1" s="122"/>
      <c r="BT1" s="122"/>
      <c r="BU1" s="122"/>
      <c r="BV1" s="122"/>
      <c r="BW1" s="122"/>
      <c r="BX1" s="122"/>
      <c r="BY1" s="122"/>
      <c r="BZ1" s="122"/>
      <c r="CA1" s="122"/>
      <c r="CB1" s="122"/>
      <c r="CC1" s="122"/>
      <c r="CD1" s="122"/>
      <c r="CE1" s="122"/>
      <c r="CF1" s="122"/>
      <c r="CG1" s="122"/>
      <c r="CH1" s="122"/>
      <c r="CI1" s="122"/>
      <c r="CJ1" s="122"/>
      <c r="CK1" s="122"/>
      <c r="CL1" s="122"/>
      <c r="CM1" s="122"/>
      <c r="CN1" s="122"/>
      <c r="CO1" s="122"/>
      <c r="CP1" s="122"/>
      <c r="CQ1" s="122"/>
      <c r="CR1" s="122"/>
      <c r="CS1" s="122"/>
      <c r="CT1" s="122"/>
      <c r="CU1" s="122"/>
      <c r="CV1" s="122"/>
      <c r="CW1" s="122"/>
      <c r="CX1" s="122"/>
      <c r="CY1" s="122"/>
      <c r="CZ1" s="17"/>
      <c r="DA1" s="17"/>
      <c r="DB1" s="17"/>
      <c r="DC1" s="17"/>
      <c r="DD1" s="17"/>
      <c r="DE1" s="17"/>
      <c r="DF1" s="17"/>
    </row>
    <row r="2" spans="1:111" s="65" customFormat="1" ht="6" customHeight="1" x14ac:dyDescent="0.25">
      <c r="A2" s="51"/>
      <c r="B2" s="154" t="s">
        <v>51</v>
      </c>
      <c r="C2" s="154"/>
      <c r="D2" s="143"/>
      <c r="E2" s="143"/>
      <c r="F2" s="143"/>
      <c r="G2" s="143"/>
      <c r="H2" s="143"/>
      <c r="I2" s="143"/>
      <c r="J2" s="143"/>
      <c r="K2" s="114"/>
      <c r="L2" s="114"/>
      <c r="M2" s="75"/>
      <c r="N2" s="75"/>
      <c r="O2" s="75"/>
      <c r="P2" s="75"/>
      <c r="Q2" s="75"/>
      <c r="R2" s="75"/>
      <c r="S2" s="75"/>
      <c r="T2" s="75"/>
      <c r="U2" s="75"/>
      <c r="V2" s="75"/>
      <c r="W2" s="75"/>
      <c r="X2" s="75"/>
      <c r="Y2" s="75"/>
      <c r="Z2" s="75"/>
      <c r="AA2" s="75"/>
      <c r="AB2" s="75"/>
      <c r="AC2" s="75"/>
      <c r="AD2" s="75"/>
      <c r="AE2" s="75"/>
      <c r="AF2" s="75"/>
      <c r="AG2" s="75"/>
      <c r="AH2" s="75"/>
      <c r="AI2" s="75"/>
      <c r="AJ2" s="75"/>
      <c r="AK2" s="75"/>
      <c r="AL2" s="75"/>
      <c r="AM2" s="75"/>
      <c r="AN2" s="75"/>
      <c r="AO2" s="75"/>
      <c r="AP2" s="75"/>
      <c r="AQ2" s="75"/>
      <c r="AR2" s="75"/>
      <c r="AS2" s="75"/>
      <c r="AT2" s="75"/>
      <c r="AU2" s="75"/>
      <c r="AV2" s="75"/>
      <c r="AW2" s="75"/>
      <c r="AX2" s="75"/>
      <c r="AY2" s="75"/>
      <c r="AZ2" s="75"/>
      <c r="BA2" s="75"/>
      <c r="BB2" s="75"/>
      <c r="BC2" s="75"/>
      <c r="BD2" s="75"/>
      <c r="BE2" s="75"/>
      <c r="BF2" s="75"/>
      <c r="BG2" s="75"/>
      <c r="BH2" s="75"/>
      <c r="BI2" s="75"/>
      <c r="BJ2" s="75"/>
      <c r="BK2" s="75"/>
      <c r="BL2" s="75"/>
      <c r="BM2" s="75"/>
      <c r="BN2" s="75"/>
      <c r="BO2" s="75"/>
      <c r="BP2" s="75"/>
      <c r="BQ2" s="75"/>
      <c r="BR2" s="75"/>
      <c r="BS2" s="75"/>
      <c r="BT2" s="75"/>
      <c r="BU2" s="75"/>
      <c r="BV2" s="75"/>
      <c r="BW2" s="75"/>
      <c r="BX2" s="75"/>
      <c r="BY2" s="75"/>
      <c r="BZ2" s="75"/>
      <c r="CA2" s="75"/>
      <c r="CB2" s="75"/>
      <c r="CC2" s="75"/>
      <c r="CD2" s="75"/>
      <c r="CE2" s="75"/>
      <c r="CF2" s="75"/>
      <c r="CG2" s="75"/>
      <c r="CH2" s="75"/>
      <c r="CI2" s="75"/>
      <c r="CJ2" s="75"/>
      <c r="CK2" s="75"/>
      <c r="CL2" s="75"/>
      <c r="CM2" s="75"/>
      <c r="CN2" s="75"/>
      <c r="CO2" s="75"/>
      <c r="CP2" s="75"/>
      <c r="CQ2" s="75"/>
      <c r="CR2" s="75"/>
      <c r="CS2" s="75"/>
      <c r="CT2" s="75"/>
      <c r="CU2" s="75"/>
      <c r="CV2" s="75"/>
      <c r="CW2" s="75"/>
      <c r="CX2" s="75"/>
      <c r="CY2" s="145" t="s">
        <v>37</v>
      </c>
      <c r="CZ2" s="146"/>
      <c r="DA2" s="146"/>
      <c r="DB2" s="146"/>
      <c r="DC2" s="146"/>
      <c r="DD2" s="146"/>
      <c r="DE2" s="147"/>
      <c r="DF2" s="51"/>
    </row>
    <row r="3" spans="1:111" s="65" customFormat="1" ht="6" customHeight="1" x14ac:dyDescent="0.25">
      <c r="A3" s="51"/>
      <c r="B3" s="154"/>
      <c r="C3" s="154"/>
      <c r="D3" s="144"/>
      <c r="E3" s="144"/>
      <c r="F3" s="144"/>
      <c r="G3" s="144"/>
      <c r="H3" s="144"/>
      <c r="I3" s="144"/>
      <c r="J3" s="144"/>
      <c r="K3" s="114"/>
      <c r="L3" s="114"/>
      <c r="M3" s="123"/>
      <c r="N3" s="123"/>
      <c r="O3" s="123"/>
      <c r="P3" s="123"/>
      <c r="Q3" s="123"/>
      <c r="R3" s="123"/>
      <c r="S3" s="123"/>
      <c r="T3" s="75"/>
      <c r="U3" s="75"/>
      <c r="V3" s="75"/>
      <c r="W3" s="75"/>
      <c r="X3" s="75"/>
      <c r="Y3" s="75"/>
      <c r="Z3" s="75"/>
      <c r="AA3" s="75"/>
      <c r="AB3" s="75"/>
      <c r="AC3" s="75"/>
      <c r="AD3" s="75"/>
      <c r="AE3" s="75"/>
      <c r="AF3" s="75"/>
      <c r="AG3" s="75"/>
      <c r="AH3" s="75"/>
      <c r="AI3" s="75"/>
      <c r="AJ3" s="75"/>
      <c r="AK3" s="75"/>
      <c r="AL3" s="75"/>
      <c r="AM3" s="75"/>
      <c r="AN3" s="75"/>
      <c r="AO3" s="75"/>
      <c r="AP3" s="75"/>
      <c r="AQ3" s="75"/>
      <c r="AR3" s="75"/>
      <c r="AS3" s="75"/>
      <c r="AT3" s="75"/>
      <c r="AU3" s="75"/>
      <c r="AV3" s="75"/>
      <c r="AW3" s="75"/>
      <c r="AX3" s="75"/>
      <c r="AY3" s="75"/>
      <c r="AZ3" s="75"/>
      <c r="BA3" s="75"/>
      <c r="BB3" s="75"/>
      <c r="BC3" s="75"/>
      <c r="BD3" s="75"/>
      <c r="BE3" s="75"/>
      <c r="BF3" s="75"/>
      <c r="BG3" s="75"/>
      <c r="BH3" s="75"/>
      <c r="BI3" s="75"/>
      <c r="BJ3" s="75"/>
      <c r="BK3" s="75"/>
      <c r="BL3" s="75"/>
      <c r="BM3" s="75"/>
      <c r="BN3" s="75"/>
      <c r="BO3" s="75"/>
      <c r="BP3" s="75"/>
      <c r="BQ3" s="75"/>
      <c r="BR3" s="75"/>
      <c r="BS3" s="75"/>
      <c r="BT3" s="75"/>
      <c r="BU3" s="75"/>
      <c r="BV3" s="75"/>
      <c r="BW3" s="75"/>
      <c r="BX3" s="75"/>
      <c r="BY3" s="75"/>
      <c r="BZ3" s="75"/>
      <c r="CA3" s="75"/>
      <c r="CB3" s="75"/>
      <c r="CC3" s="75"/>
      <c r="CD3" s="75"/>
      <c r="CE3" s="75"/>
      <c r="CF3" s="75"/>
      <c r="CG3" s="75"/>
      <c r="CH3" s="75"/>
      <c r="CI3" s="75"/>
      <c r="CJ3" s="75"/>
      <c r="CK3" s="75"/>
      <c r="CL3" s="75"/>
      <c r="CM3" s="75"/>
      <c r="CN3" s="75"/>
      <c r="CO3" s="75"/>
      <c r="CP3" s="75"/>
      <c r="CQ3" s="75"/>
      <c r="CR3" s="75"/>
      <c r="CS3" s="75"/>
      <c r="CT3" s="75"/>
      <c r="CU3" s="75"/>
      <c r="CV3" s="75"/>
      <c r="CW3" s="75"/>
      <c r="CX3" s="75"/>
      <c r="CY3" s="148"/>
      <c r="CZ3" s="149"/>
      <c r="DA3" s="149"/>
      <c r="DB3" s="149"/>
      <c r="DC3" s="149"/>
      <c r="DD3" s="149"/>
      <c r="DE3" s="150"/>
      <c r="DF3" s="54"/>
      <c r="DG3" s="79"/>
    </row>
    <row r="4" spans="1:111" s="65" customFormat="1" ht="6" customHeight="1" x14ac:dyDescent="0.25">
      <c r="A4" s="51"/>
      <c r="B4" s="89"/>
      <c r="C4" s="91"/>
      <c r="D4" s="92"/>
      <c r="E4" s="93"/>
      <c r="F4" s="93"/>
      <c r="G4" s="120"/>
      <c r="H4" s="114"/>
      <c r="I4" s="114"/>
      <c r="J4" s="114"/>
      <c r="K4" s="114"/>
      <c r="L4" s="114"/>
      <c r="M4" s="123"/>
      <c r="N4" s="123"/>
      <c r="O4" s="123"/>
      <c r="P4" s="123"/>
      <c r="Q4" s="123"/>
      <c r="R4" s="123"/>
      <c r="S4" s="123"/>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189"/>
      <c r="BE4" s="189"/>
      <c r="BF4" s="189"/>
      <c r="BG4" s="189"/>
      <c r="BH4" s="75"/>
      <c r="BI4" s="75"/>
      <c r="BJ4" s="75"/>
      <c r="BK4" s="75"/>
      <c r="BL4" s="75"/>
      <c r="BM4" s="75"/>
      <c r="BN4" s="75"/>
      <c r="BO4" s="75"/>
      <c r="BP4" s="75"/>
      <c r="BQ4" s="75"/>
      <c r="BR4" s="75"/>
      <c r="BS4" s="75"/>
      <c r="BT4" s="75"/>
      <c r="BU4" s="75"/>
      <c r="BV4" s="75"/>
      <c r="BW4" s="75"/>
      <c r="BX4" s="75"/>
      <c r="BY4" s="75"/>
      <c r="BZ4" s="75"/>
      <c r="CA4" s="75"/>
      <c r="CB4" s="75"/>
      <c r="CC4" s="75"/>
      <c r="CD4" s="75"/>
      <c r="CE4" s="75"/>
      <c r="CF4" s="75"/>
      <c r="CG4" s="75"/>
      <c r="CH4" s="75"/>
      <c r="CI4" s="75"/>
      <c r="CJ4" s="75"/>
      <c r="CK4" s="75"/>
      <c r="CL4" s="75"/>
      <c r="CM4" s="75"/>
      <c r="CN4" s="75"/>
      <c r="CO4" s="75"/>
      <c r="CP4" s="75"/>
      <c r="CQ4" s="75"/>
      <c r="CR4" s="75"/>
      <c r="CS4" s="75"/>
      <c r="CT4" s="75"/>
      <c r="CU4" s="75"/>
      <c r="CV4" s="75"/>
      <c r="CW4" s="75"/>
      <c r="CX4" s="75"/>
      <c r="CY4" s="55"/>
      <c r="CZ4" s="53"/>
      <c r="DA4" s="53"/>
      <c r="DB4" s="53"/>
      <c r="DC4" s="53"/>
      <c r="DD4" s="53"/>
      <c r="DE4" s="56"/>
      <c r="DF4" s="54"/>
      <c r="DG4" s="79"/>
    </row>
    <row r="5" spans="1:111" s="65" customFormat="1" ht="6" customHeight="1" x14ac:dyDescent="0.25">
      <c r="A5" s="51"/>
      <c r="B5" s="154" t="s">
        <v>52</v>
      </c>
      <c r="C5" s="154"/>
      <c r="D5" s="143"/>
      <c r="E5" s="143"/>
      <c r="F5" s="143"/>
      <c r="G5" s="143"/>
      <c r="H5" s="143"/>
      <c r="I5" s="143"/>
      <c r="J5" s="143"/>
      <c r="K5" s="114"/>
      <c r="L5" s="114"/>
      <c r="M5" s="123"/>
      <c r="N5" s="123"/>
      <c r="O5" s="123"/>
      <c r="P5" s="123"/>
      <c r="Q5" s="123"/>
      <c r="R5" s="123"/>
      <c r="S5" s="123"/>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189"/>
      <c r="BE5" s="189"/>
      <c r="BF5" s="189"/>
      <c r="BG5" s="189"/>
      <c r="BH5" s="75"/>
      <c r="BI5" s="75"/>
      <c r="BJ5" s="75"/>
      <c r="BK5" s="75"/>
      <c r="BL5" s="75"/>
      <c r="BM5" s="75"/>
      <c r="BN5" s="75"/>
      <c r="BO5" s="75"/>
      <c r="BP5" s="75"/>
      <c r="BQ5" s="75"/>
      <c r="BR5" s="75"/>
      <c r="BS5" s="75"/>
      <c r="BT5" s="75"/>
      <c r="BU5" s="75"/>
      <c r="BV5" s="75"/>
      <c r="BW5" s="75"/>
      <c r="BX5" s="75"/>
      <c r="BY5" s="75"/>
      <c r="BZ5" s="75"/>
      <c r="CA5" s="75"/>
      <c r="CB5" s="75"/>
      <c r="CC5" s="75"/>
      <c r="CD5" s="75"/>
      <c r="CE5" s="75"/>
      <c r="CF5" s="75"/>
      <c r="CG5" s="75"/>
      <c r="CH5" s="75"/>
      <c r="CI5" s="75"/>
      <c r="CJ5" s="75"/>
      <c r="CK5" s="75"/>
      <c r="CL5" s="75"/>
      <c r="CM5" s="75"/>
      <c r="CN5" s="75"/>
      <c r="CO5" s="75"/>
      <c r="CP5" s="75"/>
      <c r="CQ5" s="75"/>
      <c r="CR5" s="75"/>
      <c r="CS5" s="75"/>
      <c r="CT5" s="75"/>
      <c r="CU5" s="75"/>
      <c r="CV5" s="75"/>
      <c r="CW5" s="75"/>
      <c r="CX5" s="75"/>
      <c r="CY5" s="151" t="s">
        <v>33</v>
      </c>
      <c r="CZ5" s="152" t="s">
        <v>42</v>
      </c>
      <c r="DA5" s="152"/>
      <c r="DB5" s="152"/>
      <c r="DC5" s="152"/>
      <c r="DD5" s="152"/>
      <c r="DE5" s="153">
        <v>9</v>
      </c>
      <c r="DF5" s="53"/>
      <c r="DG5" s="79"/>
    </row>
    <row r="6" spans="1:111" s="65" customFormat="1" ht="6" customHeight="1" x14ac:dyDescent="0.25">
      <c r="A6" s="51"/>
      <c r="B6" s="154"/>
      <c r="C6" s="154"/>
      <c r="D6" s="144"/>
      <c r="E6" s="144"/>
      <c r="F6" s="144"/>
      <c r="G6" s="144"/>
      <c r="H6" s="144"/>
      <c r="I6" s="144"/>
      <c r="J6" s="144"/>
      <c r="K6" s="114"/>
      <c r="L6" s="114"/>
      <c r="M6" s="123"/>
      <c r="N6" s="123"/>
      <c r="O6" s="123"/>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75"/>
      <c r="BJ6" s="75"/>
      <c r="BK6" s="75"/>
      <c r="BL6" s="75"/>
      <c r="BM6" s="75"/>
      <c r="BN6" s="75"/>
      <c r="BO6" s="75"/>
      <c r="BP6" s="75"/>
      <c r="BQ6" s="75"/>
      <c r="BR6" s="75"/>
      <c r="BS6" s="75"/>
      <c r="BT6" s="75"/>
      <c r="BU6" s="75"/>
      <c r="BV6" s="75"/>
      <c r="BW6" s="75"/>
      <c r="BX6" s="75"/>
      <c r="BY6" s="75"/>
      <c r="BZ6" s="75"/>
      <c r="CA6" s="75"/>
      <c r="CB6" s="75"/>
      <c r="CC6" s="75"/>
      <c r="CD6" s="75"/>
      <c r="CE6" s="75"/>
      <c r="CF6" s="75"/>
      <c r="CG6" s="75"/>
      <c r="CH6" s="75"/>
      <c r="CI6" s="75"/>
      <c r="CJ6" s="75"/>
      <c r="CK6" s="75"/>
      <c r="CL6" s="75"/>
      <c r="CM6" s="75"/>
      <c r="CN6" s="75"/>
      <c r="CO6" s="75"/>
      <c r="CP6" s="75"/>
      <c r="CQ6" s="75"/>
      <c r="CR6" s="75"/>
      <c r="CS6" s="75"/>
      <c r="CT6" s="75"/>
      <c r="CU6" s="75"/>
      <c r="CV6" s="75"/>
      <c r="CW6" s="75"/>
      <c r="CX6" s="75"/>
      <c r="CY6" s="151"/>
      <c r="CZ6" s="152"/>
      <c r="DA6" s="152"/>
      <c r="DB6" s="152"/>
      <c r="DC6" s="152"/>
      <c r="DD6" s="152"/>
      <c r="DE6" s="153"/>
      <c r="DF6" s="53"/>
      <c r="DG6" s="79"/>
    </row>
    <row r="7" spans="1:111" s="65" customFormat="1" ht="6" customHeight="1" x14ac:dyDescent="0.25">
      <c r="A7" s="51"/>
      <c r="B7" s="89"/>
      <c r="C7" s="91"/>
      <c r="D7" s="92"/>
      <c r="E7" s="93"/>
      <c r="F7" s="93"/>
      <c r="G7" s="120"/>
      <c r="H7" s="114"/>
      <c r="I7" s="114"/>
      <c r="J7" s="114"/>
      <c r="K7" s="114"/>
      <c r="L7" s="114"/>
      <c r="M7" s="123"/>
      <c r="N7" s="123"/>
      <c r="O7" s="123"/>
      <c r="P7" s="123"/>
      <c r="Q7" s="75"/>
      <c r="R7" s="75"/>
      <c r="S7" s="75"/>
      <c r="T7" s="75"/>
      <c r="U7" s="75"/>
      <c r="V7" s="75"/>
      <c r="W7" s="75"/>
      <c r="X7" s="75"/>
      <c r="Y7" s="75"/>
      <c r="Z7" s="75"/>
      <c r="AA7" s="75"/>
      <c r="AB7" s="75"/>
      <c r="AC7" s="75"/>
      <c r="AD7" s="75"/>
      <c r="AE7" s="75"/>
      <c r="AF7" s="75"/>
      <c r="AG7" s="75"/>
      <c r="AH7" s="75"/>
      <c r="AI7" s="75"/>
      <c r="AJ7" s="75"/>
      <c r="AK7" s="75"/>
      <c r="AL7" s="75"/>
      <c r="AM7" s="75"/>
      <c r="AN7" s="75"/>
      <c r="AO7" s="75"/>
      <c r="AP7" s="75"/>
      <c r="AQ7" s="75"/>
      <c r="AR7" s="75"/>
      <c r="AS7" s="75"/>
      <c r="AT7" s="75"/>
      <c r="AU7" s="75"/>
      <c r="AV7" s="75"/>
      <c r="AW7" s="75"/>
      <c r="AX7" s="75"/>
      <c r="AY7" s="75"/>
      <c r="AZ7" s="75"/>
      <c r="BA7" s="189"/>
      <c r="BB7" s="189"/>
      <c r="BC7" s="189"/>
      <c r="BD7" s="189"/>
      <c r="BE7" s="75"/>
      <c r="BF7" s="75"/>
      <c r="BG7" s="189"/>
      <c r="BH7" s="189"/>
      <c r="BI7" s="189"/>
      <c r="BJ7" s="189"/>
      <c r="BK7" s="75"/>
      <c r="BL7" s="75"/>
      <c r="BM7" s="75"/>
      <c r="BN7" s="75"/>
      <c r="BO7" s="75"/>
      <c r="BP7" s="75"/>
      <c r="BQ7" s="75"/>
      <c r="BR7" s="75"/>
      <c r="BS7" s="75"/>
      <c r="BT7" s="75"/>
      <c r="BU7" s="75"/>
      <c r="BV7" s="75"/>
      <c r="BW7" s="75"/>
      <c r="BX7" s="75"/>
      <c r="BY7" s="75"/>
      <c r="BZ7" s="75"/>
      <c r="CA7" s="75"/>
      <c r="CB7" s="75"/>
      <c r="CC7" s="75"/>
      <c r="CD7" s="75"/>
      <c r="CE7" s="75"/>
      <c r="CF7" s="75"/>
      <c r="CG7" s="75"/>
      <c r="CH7" s="75"/>
      <c r="CI7" s="75"/>
      <c r="CJ7" s="75"/>
      <c r="CK7" s="75"/>
      <c r="CL7" s="75"/>
      <c r="CM7" s="75"/>
      <c r="CN7" s="75"/>
      <c r="CO7" s="75"/>
      <c r="CP7" s="75"/>
      <c r="CQ7" s="75"/>
      <c r="CR7" s="75"/>
      <c r="CS7" s="75"/>
      <c r="CT7" s="75"/>
      <c r="CU7" s="75"/>
      <c r="CV7" s="75"/>
      <c r="CW7" s="75"/>
      <c r="CX7" s="75"/>
      <c r="CY7" s="58"/>
      <c r="CZ7" s="53"/>
      <c r="DA7" s="53"/>
      <c r="DB7" s="53"/>
      <c r="DC7" s="53"/>
      <c r="DD7" s="53"/>
      <c r="DE7" s="56"/>
      <c r="DF7" s="53"/>
      <c r="DG7" s="79"/>
    </row>
    <row r="8" spans="1:111" s="65" customFormat="1" ht="6" customHeight="1" x14ac:dyDescent="0.25">
      <c r="A8" s="51"/>
      <c r="B8" s="154" t="s">
        <v>53</v>
      </c>
      <c r="C8" s="154"/>
      <c r="D8" s="155"/>
      <c r="E8" s="155"/>
      <c r="F8" s="155"/>
      <c r="G8" s="155"/>
      <c r="H8" s="155"/>
      <c r="I8" s="155"/>
      <c r="J8" s="155"/>
      <c r="K8" s="114"/>
      <c r="L8" s="114"/>
      <c r="M8" s="123"/>
      <c r="N8" s="123"/>
      <c r="O8" s="123"/>
      <c r="P8" s="123"/>
      <c r="Q8" s="75"/>
      <c r="R8" s="75"/>
      <c r="S8" s="75"/>
      <c r="T8" s="75"/>
      <c r="U8" s="75"/>
      <c r="V8" s="75"/>
      <c r="W8" s="75"/>
      <c r="X8" s="75"/>
      <c r="Y8" s="75"/>
      <c r="Z8" s="75"/>
      <c r="AA8" s="75"/>
      <c r="AB8" s="75"/>
      <c r="AC8" s="75"/>
      <c r="AD8" s="75"/>
      <c r="AE8" s="75"/>
      <c r="AF8" s="75"/>
      <c r="AG8" s="75"/>
      <c r="AH8" s="75"/>
      <c r="AI8" s="75"/>
      <c r="AJ8" s="75"/>
      <c r="AK8" s="75"/>
      <c r="AL8" s="75"/>
      <c r="AM8" s="75"/>
      <c r="AN8" s="75"/>
      <c r="AO8" s="75"/>
      <c r="AP8" s="75"/>
      <c r="AQ8" s="75"/>
      <c r="AR8" s="75"/>
      <c r="AS8" s="75"/>
      <c r="AT8" s="75"/>
      <c r="AU8" s="75"/>
      <c r="AV8" s="75"/>
      <c r="AW8" s="75"/>
      <c r="AX8" s="75"/>
      <c r="AY8" s="75"/>
      <c r="AZ8" s="75"/>
      <c r="BA8" s="189"/>
      <c r="BB8" s="189"/>
      <c r="BC8" s="189"/>
      <c r="BD8" s="189"/>
      <c r="BE8" s="75"/>
      <c r="BF8" s="75"/>
      <c r="BG8" s="189"/>
      <c r="BH8" s="189"/>
      <c r="BI8" s="189"/>
      <c r="BJ8" s="189"/>
      <c r="BK8" s="75"/>
      <c r="BL8" s="75"/>
      <c r="BM8" s="75"/>
      <c r="BN8" s="75"/>
      <c r="BO8" s="75"/>
      <c r="BP8" s="75"/>
      <c r="BQ8" s="75"/>
      <c r="BR8" s="75"/>
      <c r="BS8" s="75"/>
      <c r="BT8" s="75"/>
      <c r="BU8" s="75"/>
      <c r="BV8" s="75"/>
      <c r="BW8" s="75"/>
      <c r="BX8" s="75"/>
      <c r="BY8" s="75"/>
      <c r="BZ8" s="75"/>
      <c r="CA8" s="75"/>
      <c r="CB8" s="75"/>
      <c r="CC8" s="75"/>
      <c r="CD8" s="75"/>
      <c r="CE8" s="75"/>
      <c r="CF8" s="75"/>
      <c r="CG8" s="75"/>
      <c r="CH8" s="75"/>
      <c r="CI8" s="75"/>
      <c r="CJ8" s="75"/>
      <c r="CK8" s="75"/>
      <c r="CL8" s="75"/>
      <c r="CM8" s="75"/>
      <c r="CN8" s="75"/>
      <c r="CO8" s="75"/>
      <c r="CP8" s="75"/>
      <c r="CQ8" s="75"/>
      <c r="CR8" s="75"/>
      <c r="CS8" s="75"/>
      <c r="CT8" s="75"/>
      <c r="CU8" s="75"/>
      <c r="CV8" s="75"/>
      <c r="CW8" s="75"/>
      <c r="CX8" s="75"/>
      <c r="CY8" s="151" t="s">
        <v>32</v>
      </c>
      <c r="CZ8" s="152" t="s">
        <v>43</v>
      </c>
      <c r="DA8" s="152"/>
      <c r="DB8" s="152"/>
      <c r="DC8" s="152"/>
      <c r="DD8" s="152"/>
      <c r="DE8" s="153">
        <v>3</v>
      </c>
      <c r="DF8" s="53"/>
      <c r="DG8" s="79"/>
    </row>
    <row r="9" spans="1:111" s="65" customFormat="1" ht="6" customHeight="1" x14ac:dyDescent="0.25">
      <c r="A9" s="51"/>
      <c r="B9" s="154"/>
      <c r="C9" s="154"/>
      <c r="D9" s="156"/>
      <c r="E9" s="156"/>
      <c r="F9" s="156"/>
      <c r="G9" s="156"/>
      <c r="H9" s="156"/>
      <c r="I9" s="156"/>
      <c r="J9" s="156"/>
      <c r="K9" s="114"/>
      <c r="L9" s="114"/>
      <c r="M9" s="123"/>
      <c r="N9" s="123"/>
      <c r="O9" s="123"/>
      <c r="P9" s="123"/>
      <c r="Q9" s="75"/>
      <c r="R9" s="75"/>
      <c r="S9" s="75"/>
      <c r="T9" s="75"/>
      <c r="U9" s="75"/>
      <c r="V9" s="75"/>
      <c r="W9" s="75"/>
      <c r="X9" s="75"/>
      <c r="Y9" s="75"/>
      <c r="Z9" s="75"/>
      <c r="AA9" s="75"/>
      <c r="AB9" s="75"/>
      <c r="AC9" s="75"/>
      <c r="AD9" s="75"/>
      <c r="AE9" s="75"/>
      <c r="AF9" s="75"/>
      <c r="AG9" s="75"/>
      <c r="AH9" s="75"/>
      <c r="AI9" s="75"/>
      <c r="AJ9" s="75"/>
      <c r="AK9" s="75"/>
      <c r="AL9" s="75"/>
      <c r="AM9" s="75"/>
      <c r="AN9" s="75"/>
      <c r="AO9" s="75"/>
      <c r="AP9" s="75"/>
      <c r="AQ9" s="75"/>
      <c r="AR9" s="75"/>
      <c r="AS9" s="75"/>
      <c r="AT9" s="75"/>
      <c r="AU9" s="75"/>
      <c r="AV9" s="75"/>
      <c r="AW9" s="75"/>
      <c r="AX9" s="75"/>
      <c r="AY9" s="75"/>
      <c r="AZ9" s="75"/>
      <c r="BA9" s="75"/>
      <c r="BB9" s="75"/>
      <c r="BC9" s="75"/>
      <c r="BD9" s="75"/>
      <c r="BE9" s="75"/>
      <c r="BF9" s="75"/>
      <c r="BG9" s="75"/>
      <c r="BH9" s="75"/>
      <c r="BI9" s="75"/>
      <c r="BJ9" s="75"/>
      <c r="BK9" s="75"/>
      <c r="BL9" s="75"/>
      <c r="BM9" s="75"/>
      <c r="BN9" s="75"/>
      <c r="BO9" s="75"/>
      <c r="BP9" s="75"/>
      <c r="BQ9" s="75"/>
      <c r="BR9" s="75"/>
      <c r="BS9" s="75"/>
      <c r="BT9" s="75"/>
      <c r="BU9" s="75"/>
      <c r="BV9" s="75"/>
      <c r="BW9" s="75"/>
      <c r="BX9" s="75"/>
      <c r="BY9" s="75"/>
      <c r="BZ9" s="75"/>
      <c r="CA9" s="75"/>
      <c r="CB9" s="75"/>
      <c r="CC9" s="75"/>
      <c r="CD9" s="75"/>
      <c r="CE9" s="75"/>
      <c r="CF9" s="75"/>
      <c r="CG9" s="75"/>
      <c r="CH9" s="75"/>
      <c r="CI9" s="75"/>
      <c r="CJ9" s="75"/>
      <c r="CK9" s="75"/>
      <c r="CL9" s="75"/>
      <c r="CM9" s="75"/>
      <c r="CN9" s="75"/>
      <c r="CO9" s="75"/>
      <c r="CP9" s="75"/>
      <c r="CQ9" s="75"/>
      <c r="CR9" s="75"/>
      <c r="CS9" s="75"/>
      <c r="CT9" s="75"/>
      <c r="CU9" s="75"/>
      <c r="CV9" s="75"/>
      <c r="CW9" s="75"/>
      <c r="CX9" s="75"/>
      <c r="CY9" s="151"/>
      <c r="CZ9" s="152"/>
      <c r="DA9" s="152"/>
      <c r="DB9" s="152"/>
      <c r="DC9" s="152"/>
      <c r="DD9" s="152"/>
      <c r="DE9" s="153"/>
      <c r="DF9" s="53"/>
      <c r="DG9" s="79"/>
    </row>
    <row r="10" spans="1:111" s="65" customFormat="1" ht="6" customHeight="1" x14ac:dyDescent="0.25">
      <c r="A10" s="51"/>
      <c r="B10" s="89"/>
      <c r="C10" s="91"/>
      <c r="D10" s="92"/>
      <c r="E10" s="93"/>
      <c r="F10" s="93"/>
      <c r="G10" s="120"/>
      <c r="H10" s="114"/>
      <c r="I10" s="114"/>
      <c r="J10" s="114"/>
      <c r="K10" s="114"/>
      <c r="L10" s="114"/>
      <c r="M10" s="123"/>
      <c r="N10" s="123"/>
      <c r="O10" s="123"/>
      <c r="P10" s="123"/>
      <c r="Q10" s="75"/>
      <c r="R10" s="75"/>
      <c r="S10" s="75"/>
      <c r="T10" s="75"/>
      <c r="U10" s="75"/>
      <c r="V10" s="75"/>
      <c r="W10" s="75"/>
      <c r="X10" s="75"/>
      <c r="Y10" s="75"/>
      <c r="Z10" s="75"/>
      <c r="AA10" s="75"/>
      <c r="AB10" s="75"/>
      <c r="AC10" s="75"/>
      <c r="AD10" s="75"/>
      <c r="AE10" s="75"/>
      <c r="AF10" s="75"/>
      <c r="AG10" s="75"/>
      <c r="AH10" s="75"/>
      <c r="AI10" s="75"/>
      <c r="AJ10" s="75"/>
      <c r="AK10" s="75"/>
      <c r="AL10" s="75"/>
      <c r="AM10" s="75"/>
      <c r="AN10" s="75"/>
      <c r="AO10" s="75"/>
      <c r="AP10" s="75"/>
      <c r="AQ10" s="75"/>
      <c r="AR10" s="75"/>
      <c r="AS10" s="75"/>
      <c r="AT10" s="75"/>
      <c r="AU10" s="75"/>
      <c r="AV10" s="75"/>
      <c r="AW10" s="75"/>
      <c r="AX10" s="189"/>
      <c r="AY10" s="189"/>
      <c r="AZ10" s="189"/>
      <c r="BA10" s="189"/>
      <c r="BB10" s="75"/>
      <c r="BC10" s="75"/>
      <c r="BD10" s="189"/>
      <c r="BE10" s="189"/>
      <c r="BF10" s="189"/>
      <c r="BG10" s="189"/>
      <c r="BH10" s="75"/>
      <c r="BI10" s="75"/>
      <c r="BJ10" s="189"/>
      <c r="BK10" s="189"/>
      <c r="BL10" s="189"/>
      <c r="BM10" s="189"/>
      <c r="BN10" s="75"/>
      <c r="BO10" s="75"/>
      <c r="BP10" s="75"/>
      <c r="BQ10" s="75"/>
      <c r="BR10" s="75"/>
      <c r="BS10" s="75"/>
      <c r="BT10" s="75"/>
      <c r="BU10" s="75"/>
      <c r="BV10" s="75"/>
      <c r="BW10" s="75"/>
      <c r="BX10" s="75"/>
      <c r="BY10" s="75"/>
      <c r="BZ10" s="75"/>
      <c r="CA10" s="75"/>
      <c r="CB10" s="75"/>
      <c r="CC10" s="75"/>
      <c r="CD10" s="75"/>
      <c r="CE10" s="75"/>
      <c r="CF10" s="75"/>
      <c r="CG10" s="75"/>
      <c r="CH10" s="75"/>
      <c r="CI10" s="75"/>
      <c r="CJ10" s="75"/>
      <c r="CK10" s="75"/>
      <c r="CL10" s="75"/>
      <c r="CM10" s="75"/>
      <c r="CN10" s="75"/>
      <c r="CO10" s="75"/>
      <c r="CP10" s="75"/>
      <c r="CQ10" s="75"/>
      <c r="CR10" s="75"/>
      <c r="CS10" s="75"/>
      <c r="CT10" s="75"/>
      <c r="CU10" s="75"/>
      <c r="CV10" s="75"/>
      <c r="CW10" s="75"/>
      <c r="CX10" s="75"/>
      <c r="CY10" s="58"/>
      <c r="CZ10" s="53"/>
      <c r="DA10" s="53"/>
      <c r="DB10" s="53"/>
      <c r="DC10" s="53"/>
      <c r="DD10" s="53"/>
      <c r="DE10" s="56"/>
      <c r="DF10" s="53"/>
      <c r="DG10" s="79"/>
    </row>
    <row r="11" spans="1:111" s="65" customFormat="1" ht="6" customHeight="1" x14ac:dyDescent="0.25">
      <c r="A11" s="51"/>
      <c r="B11" s="154" t="s">
        <v>54</v>
      </c>
      <c r="C11" s="154"/>
      <c r="D11" s="143"/>
      <c r="E11" s="143"/>
      <c r="F11" s="143"/>
      <c r="G11" s="143"/>
      <c r="H11" s="143"/>
      <c r="I11" s="143"/>
      <c r="J11" s="143"/>
      <c r="K11" s="114"/>
      <c r="L11" s="114"/>
      <c r="M11" s="123"/>
      <c r="N11" s="123"/>
      <c r="O11" s="123"/>
      <c r="P11" s="123"/>
      <c r="Q11" s="75"/>
      <c r="R11" s="75"/>
      <c r="S11" s="75"/>
      <c r="T11" s="75"/>
      <c r="U11" s="75"/>
      <c r="V11" s="75"/>
      <c r="W11" s="75"/>
      <c r="X11" s="75"/>
      <c r="Y11" s="75"/>
      <c r="Z11" s="75"/>
      <c r="AA11" s="75"/>
      <c r="AB11" s="75"/>
      <c r="AC11" s="75"/>
      <c r="AD11" s="75"/>
      <c r="AE11" s="75"/>
      <c r="AF11" s="75"/>
      <c r="AG11" s="75"/>
      <c r="AH11" s="75"/>
      <c r="AI11" s="75"/>
      <c r="AJ11" s="75"/>
      <c r="AK11" s="75"/>
      <c r="AL11" s="75"/>
      <c r="AM11" s="75"/>
      <c r="AN11" s="75"/>
      <c r="AO11" s="75"/>
      <c r="AP11" s="75"/>
      <c r="AQ11" s="75"/>
      <c r="AR11" s="75"/>
      <c r="AS11" s="75"/>
      <c r="AT11" s="75"/>
      <c r="AU11" s="75"/>
      <c r="AV11" s="75"/>
      <c r="AW11" s="75"/>
      <c r="AX11" s="189"/>
      <c r="AY11" s="189"/>
      <c r="AZ11" s="189"/>
      <c r="BA11" s="189"/>
      <c r="BB11" s="75"/>
      <c r="BC11" s="75"/>
      <c r="BD11" s="189"/>
      <c r="BE11" s="189"/>
      <c r="BF11" s="189"/>
      <c r="BG11" s="189"/>
      <c r="BH11" s="75"/>
      <c r="BI11" s="75"/>
      <c r="BJ11" s="189"/>
      <c r="BK11" s="189"/>
      <c r="BL11" s="189"/>
      <c r="BM11" s="189"/>
      <c r="BN11" s="75"/>
      <c r="BO11" s="75"/>
      <c r="BP11" s="75"/>
      <c r="BQ11" s="75"/>
      <c r="BR11" s="75"/>
      <c r="BS11" s="75"/>
      <c r="BT11" s="75"/>
      <c r="BU11" s="75"/>
      <c r="BV11" s="75"/>
      <c r="BW11" s="75"/>
      <c r="BX11" s="75"/>
      <c r="BY11" s="75"/>
      <c r="BZ11" s="75"/>
      <c r="CA11" s="75"/>
      <c r="CB11" s="75"/>
      <c r="CC11" s="75"/>
      <c r="CD11" s="75"/>
      <c r="CE11" s="75"/>
      <c r="CF11" s="75"/>
      <c r="CG11" s="75"/>
      <c r="CH11" s="75"/>
      <c r="CI11" s="75"/>
      <c r="CJ11" s="75"/>
      <c r="CK11" s="75"/>
      <c r="CL11" s="75"/>
      <c r="CM11" s="75"/>
      <c r="CN11" s="75"/>
      <c r="CO11" s="75"/>
      <c r="CP11" s="75"/>
      <c r="CQ11" s="75"/>
      <c r="CR11" s="75"/>
      <c r="CS11" s="75"/>
      <c r="CT11" s="75"/>
      <c r="CU11" s="75"/>
      <c r="CV11" s="75"/>
      <c r="CW11" s="75"/>
      <c r="CX11" s="75"/>
      <c r="CY11" s="151" t="s">
        <v>0</v>
      </c>
      <c r="CZ11" s="152" t="s">
        <v>44</v>
      </c>
      <c r="DA11" s="152"/>
      <c r="DB11" s="152"/>
      <c r="DC11" s="152"/>
      <c r="DD11" s="152"/>
      <c r="DE11" s="153">
        <v>1</v>
      </c>
      <c r="DF11" s="53"/>
      <c r="DG11" s="79"/>
    </row>
    <row r="12" spans="1:111" s="65" customFormat="1" ht="6" customHeight="1" x14ac:dyDescent="0.25">
      <c r="A12" s="51"/>
      <c r="B12" s="154"/>
      <c r="C12" s="154"/>
      <c r="D12" s="144"/>
      <c r="E12" s="144"/>
      <c r="F12" s="144"/>
      <c r="G12" s="144"/>
      <c r="H12" s="144"/>
      <c r="I12" s="144"/>
      <c r="J12" s="144"/>
      <c r="K12" s="114"/>
      <c r="L12" s="114"/>
      <c r="M12" s="123"/>
      <c r="N12" s="123"/>
      <c r="O12" s="123"/>
      <c r="P12" s="123"/>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5"/>
      <c r="BV12" s="75"/>
      <c r="BW12" s="75"/>
      <c r="BX12" s="75"/>
      <c r="BY12" s="75"/>
      <c r="BZ12" s="75"/>
      <c r="CA12" s="75"/>
      <c r="CB12" s="75"/>
      <c r="CC12" s="75"/>
      <c r="CD12" s="75"/>
      <c r="CE12" s="75"/>
      <c r="CF12" s="75"/>
      <c r="CG12" s="75"/>
      <c r="CH12" s="75"/>
      <c r="CI12" s="75"/>
      <c r="CJ12" s="75"/>
      <c r="CK12" s="75"/>
      <c r="CL12" s="75"/>
      <c r="CM12" s="75"/>
      <c r="CN12" s="75"/>
      <c r="CO12" s="75"/>
      <c r="CP12" s="75"/>
      <c r="CQ12" s="75"/>
      <c r="CR12" s="75"/>
      <c r="CS12" s="75"/>
      <c r="CT12" s="75"/>
      <c r="CU12" s="75"/>
      <c r="CV12" s="75"/>
      <c r="CW12" s="75"/>
      <c r="CX12" s="75"/>
      <c r="CY12" s="151"/>
      <c r="CZ12" s="152"/>
      <c r="DA12" s="152"/>
      <c r="DB12" s="152"/>
      <c r="DC12" s="152"/>
      <c r="DD12" s="152"/>
      <c r="DE12" s="153"/>
      <c r="DF12" s="53"/>
      <c r="DG12" s="79"/>
    </row>
    <row r="13" spans="1:111" s="65" customFormat="1" ht="6" customHeight="1" x14ac:dyDescent="0.25">
      <c r="A13" s="51"/>
      <c r="B13" s="90"/>
      <c r="C13" s="94"/>
      <c r="D13" s="93"/>
      <c r="E13" s="93"/>
      <c r="F13" s="93"/>
      <c r="G13" s="93"/>
      <c r="H13" s="114"/>
      <c r="I13" s="114"/>
      <c r="J13" s="114"/>
      <c r="K13" s="114"/>
      <c r="L13" s="114"/>
      <c r="M13" s="123"/>
      <c r="N13" s="123"/>
      <c r="O13" s="123"/>
      <c r="P13" s="123"/>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75"/>
      <c r="AP13" s="75"/>
      <c r="AQ13" s="75"/>
      <c r="AR13" s="75"/>
      <c r="AS13" s="75"/>
      <c r="AT13" s="75"/>
      <c r="AU13" s="189"/>
      <c r="AV13" s="189"/>
      <c r="AW13" s="189"/>
      <c r="AX13" s="189"/>
      <c r="AY13" s="75"/>
      <c r="AZ13" s="75"/>
      <c r="BA13" s="189"/>
      <c r="BB13" s="189"/>
      <c r="BC13" s="189"/>
      <c r="BD13" s="189"/>
      <c r="BE13" s="75"/>
      <c r="BF13" s="75"/>
      <c r="BG13" s="189"/>
      <c r="BH13" s="189"/>
      <c r="BI13" s="189"/>
      <c r="BJ13" s="189"/>
      <c r="BK13" s="75"/>
      <c r="BL13" s="75"/>
      <c r="BM13" s="189"/>
      <c r="BN13" s="189"/>
      <c r="BO13" s="189"/>
      <c r="BP13" s="189"/>
      <c r="BQ13" s="75"/>
      <c r="BR13" s="75"/>
      <c r="BS13" s="75"/>
      <c r="BT13" s="75"/>
      <c r="BU13" s="75"/>
      <c r="BV13" s="75"/>
      <c r="BW13" s="75"/>
      <c r="BX13" s="75"/>
      <c r="BY13" s="75"/>
      <c r="BZ13" s="75"/>
      <c r="CA13" s="75"/>
      <c r="CB13" s="75"/>
      <c r="CC13" s="75"/>
      <c r="CD13" s="75"/>
      <c r="CE13" s="75"/>
      <c r="CF13" s="75"/>
      <c r="CG13" s="75"/>
      <c r="CH13" s="75"/>
      <c r="CI13" s="75"/>
      <c r="CJ13" s="75"/>
      <c r="CK13" s="75"/>
      <c r="CL13" s="75"/>
      <c r="CM13" s="75"/>
      <c r="CN13" s="75"/>
      <c r="CO13" s="75"/>
      <c r="CP13" s="75"/>
      <c r="CQ13" s="75"/>
      <c r="CR13" s="75"/>
      <c r="CS13" s="75"/>
      <c r="CT13" s="75"/>
      <c r="CU13" s="75"/>
      <c r="CV13" s="75"/>
      <c r="CW13" s="75"/>
      <c r="CX13" s="75"/>
      <c r="CY13" s="60"/>
      <c r="CZ13" s="53"/>
      <c r="DA13" s="53"/>
      <c r="DB13" s="53"/>
      <c r="DC13" s="53"/>
      <c r="DD13" s="53"/>
      <c r="DE13" s="56"/>
      <c r="DF13" s="53"/>
      <c r="DG13" s="79"/>
    </row>
    <row r="14" spans="1:111" s="65" customFormat="1" ht="6" customHeight="1" x14ac:dyDescent="0.25">
      <c r="A14" s="51"/>
      <c r="B14" s="8"/>
      <c r="C14" s="8"/>
      <c r="D14" s="143"/>
      <c r="E14" s="143"/>
      <c r="F14" s="143"/>
      <c r="G14" s="143"/>
      <c r="H14" s="143"/>
      <c r="I14" s="143"/>
      <c r="J14" s="143"/>
      <c r="K14" s="114"/>
      <c r="L14" s="114"/>
      <c r="M14" s="123"/>
      <c r="N14" s="123"/>
      <c r="O14" s="123"/>
      <c r="P14" s="123"/>
      <c r="Q14" s="75"/>
      <c r="R14" s="75"/>
      <c r="S14" s="75"/>
      <c r="T14" s="75"/>
      <c r="U14" s="75"/>
      <c r="V14" s="75"/>
      <c r="W14" s="75"/>
      <c r="X14" s="75"/>
      <c r="Y14" s="75"/>
      <c r="Z14" s="75"/>
      <c r="AA14" s="75"/>
      <c r="AB14" s="75"/>
      <c r="AC14" s="75"/>
      <c r="AD14" s="75"/>
      <c r="AE14" s="75"/>
      <c r="AF14" s="75"/>
      <c r="AG14" s="75"/>
      <c r="AH14" s="75"/>
      <c r="AI14" s="75"/>
      <c r="AJ14" s="75"/>
      <c r="AK14" s="75"/>
      <c r="AL14" s="75"/>
      <c r="AM14" s="75"/>
      <c r="AN14" s="75"/>
      <c r="AO14" s="75"/>
      <c r="AP14" s="75"/>
      <c r="AQ14" s="75"/>
      <c r="AR14" s="75"/>
      <c r="AS14" s="75"/>
      <c r="AT14" s="75"/>
      <c r="AU14" s="189"/>
      <c r="AV14" s="189"/>
      <c r="AW14" s="189"/>
      <c r="AX14" s="189"/>
      <c r="AY14" s="75"/>
      <c r="AZ14" s="75"/>
      <c r="BA14" s="189"/>
      <c r="BB14" s="189"/>
      <c r="BC14" s="189"/>
      <c r="BD14" s="189"/>
      <c r="BE14" s="75"/>
      <c r="BF14" s="75"/>
      <c r="BG14" s="189"/>
      <c r="BH14" s="189"/>
      <c r="BI14" s="189"/>
      <c r="BJ14" s="189"/>
      <c r="BK14" s="75"/>
      <c r="BL14" s="75"/>
      <c r="BM14" s="189"/>
      <c r="BN14" s="189"/>
      <c r="BO14" s="189"/>
      <c r="BP14" s="189"/>
      <c r="BQ14" s="75"/>
      <c r="BR14" s="75"/>
      <c r="BS14" s="75"/>
      <c r="BT14" s="75"/>
      <c r="BU14" s="75"/>
      <c r="BV14" s="75"/>
      <c r="BW14" s="75"/>
      <c r="BX14" s="75"/>
      <c r="BY14" s="75"/>
      <c r="BZ14" s="75"/>
      <c r="CA14" s="75"/>
      <c r="CB14" s="75"/>
      <c r="CC14" s="75"/>
      <c r="CD14" s="75"/>
      <c r="CE14" s="75"/>
      <c r="CF14" s="75"/>
      <c r="CG14" s="75"/>
      <c r="CH14" s="75"/>
      <c r="CI14" s="75"/>
      <c r="CJ14" s="75"/>
      <c r="CK14" s="75"/>
      <c r="CL14" s="75"/>
      <c r="CM14" s="75"/>
      <c r="CN14" s="75"/>
      <c r="CO14" s="75"/>
      <c r="CP14" s="75"/>
      <c r="CQ14" s="75"/>
      <c r="CR14" s="75"/>
      <c r="CS14" s="75"/>
      <c r="CT14" s="75"/>
      <c r="CU14" s="75"/>
      <c r="CV14" s="75"/>
      <c r="CW14" s="75"/>
      <c r="CX14" s="75"/>
      <c r="CY14" s="169" t="s">
        <v>34</v>
      </c>
      <c r="CZ14" s="152" t="s">
        <v>40</v>
      </c>
      <c r="DA14" s="152"/>
      <c r="DB14" s="152"/>
      <c r="DC14" s="152"/>
      <c r="DD14" s="152"/>
      <c r="DE14" s="113"/>
      <c r="DF14" s="53"/>
      <c r="DG14" s="79"/>
    </row>
    <row r="15" spans="1:111" s="65" customFormat="1" ht="6" customHeight="1" x14ac:dyDescent="0.25">
      <c r="A15" s="51"/>
      <c r="B15" s="8"/>
      <c r="C15" s="8"/>
      <c r="D15" s="144"/>
      <c r="E15" s="144"/>
      <c r="F15" s="144"/>
      <c r="G15" s="144"/>
      <c r="H15" s="144"/>
      <c r="I15" s="144"/>
      <c r="J15" s="144"/>
      <c r="K15" s="114"/>
      <c r="L15" s="114"/>
      <c r="M15" s="123"/>
      <c r="N15" s="123"/>
      <c r="O15" s="123"/>
      <c r="P15" s="123"/>
      <c r="Q15" s="75"/>
      <c r="R15" s="75"/>
      <c r="S15" s="75"/>
      <c r="T15" s="75"/>
      <c r="U15" s="75"/>
      <c r="V15" s="75"/>
      <c r="W15" s="75"/>
      <c r="X15" s="75"/>
      <c r="Y15" s="75"/>
      <c r="Z15" s="75"/>
      <c r="AA15" s="75"/>
      <c r="AB15" s="75"/>
      <c r="AC15" s="75"/>
      <c r="AD15" s="75"/>
      <c r="AE15" s="75"/>
      <c r="AF15" s="75"/>
      <c r="AG15" s="75"/>
      <c r="AH15" s="75"/>
      <c r="AI15" s="75"/>
      <c r="AJ15" s="75"/>
      <c r="AK15" s="75"/>
      <c r="AL15" s="75"/>
      <c r="AM15" s="75"/>
      <c r="AN15" s="75"/>
      <c r="AO15" s="75"/>
      <c r="AP15" s="75"/>
      <c r="AQ15" s="75"/>
      <c r="AR15" s="75"/>
      <c r="AS15" s="75"/>
      <c r="AT15" s="75"/>
      <c r="AU15" s="75"/>
      <c r="AV15" s="75"/>
      <c r="AW15" s="75"/>
      <c r="AX15" s="75"/>
      <c r="AY15" s="75"/>
      <c r="AZ15" s="75"/>
      <c r="BA15" s="75"/>
      <c r="BB15" s="75"/>
      <c r="BC15" s="75"/>
      <c r="BD15" s="75"/>
      <c r="BE15" s="75"/>
      <c r="BF15" s="75"/>
      <c r="BG15" s="75"/>
      <c r="BH15" s="75"/>
      <c r="BI15" s="75"/>
      <c r="BJ15" s="75"/>
      <c r="BK15" s="75"/>
      <c r="BL15" s="75"/>
      <c r="BM15" s="75"/>
      <c r="BN15" s="75"/>
      <c r="BO15" s="75"/>
      <c r="BP15" s="75"/>
      <c r="BQ15" s="75"/>
      <c r="BR15" s="75"/>
      <c r="BS15" s="75"/>
      <c r="BT15" s="75"/>
      <c r="BU15" s="75"/>
      <c r="BV15" s="75"/>
      <c r="BW15" s="75"/>
      <c r="BX15" s="75"/>
      <c r="BY15" s="75"/>
      <c r="BZ15" s="75"/>
      <c r="CA15" s="75"/>
      <c r="CB15" s="75"/>
      <c r="CC15" s="75"/>
      <c r="CD15" s="75"/>
      <c r="CE15" s="75"/>
      <c r="CF15" s="75"/>
      <c r="CG15" s="75"/>
      <c r="CH15" s="75"/>
      <c r="CI15" s="75"/>
      <c r="CJ15" s="75"/>
      <c r="CK15" s="75"/>
      <c r="CL15" s="75"/>
      <c r="CM15" s="75"/>
      <c r="CN15" s="75"/>
      <c r="CO15" s="75"/>
      <c r="CP15" s="75"/>
      <c r="CQ15" s="75"/>
      <c r="CR15" s="75"/>
      <c r="CS15" s="75"/>
      <c r="CT15" s="75"/>
      <c r="CU15" s="75"/>
      <c r="CV15" s="75"/>
      <c r="CW15" s="75"/>
      <c r="CX15" s="75"/>
      <c r="CY15" s="169"/>
      <c r="CZ15" s="152"/>
      <c r="DA15" s="152"/>
      <c r="DB15" s="152"/>
      <c r="DC15" s="152"/>
      <c r="DD15" s="152"/>
      <c r="DE15" s="113"/>
      <c r="DF15" s="53"/>
      <c r="DG15" s="79"/>
    </row>
    <row r="16" spans="1:111" s="65" customFormat="1" ht="6" customHeight="1" x14ac:dyDescent="0.25">
      <c r="A16" s="51"/>
      <c r="B16" s="8"/>
      <c r="C16" s="8"/>
      <c r="D16" s="93"/>
      <c r="E16" s="93"/>
      <c r="F16" s="93"/>
      <c r="G16" s="93"/>
      <c r="H16" s="114"/>
      <c r="I16" s="114"/>
      <c r="J16" s="114"/>
      <c r="K16" s="114"/>
      <c r="L16" s="114"/>
      <c r="M16" s="123"/>
      <c r="N16" s="123"/>
      <c r="O16" s="123"/>
      <c r="P16" s="123"/>
      <c r="Q16" s="75"/>
      <c r="R16" s="75"/>
      <c r="S16" s="75"/>
      <c r="T16" s="75"/>
      <c r="U16" s="75"/>
      <c r="V16" s="75"/>
      <c r="W16" s="75"/>
      <c r="X16" s="75"/>
      <c r="Y16" s="75"/>
      <c r="Z16" s="75"/>
      <c r="AA16" s="75"/>
      <c r="AB16" s="75"/>
      <c r="AC16" s="75"/>
      <c r="AD16" s="75"/>
      <c r="AE16" s="75"/>
      <c r="AF16" s="75"/>
      <c r="AG16" s="75"/>
      <c r="AH16" s="75"/>
      <c r="AI16" s="75"/>
      <c r="AJ16" s="75"/>
      <c r="AK16" s="75"/>
      <c r="AL16" s="75"/>
      <c r="AM16" s="75"/>
      <c r="AN16" s="75"/>
      <c r="AO16" s="75"/>
      <c r="AP16" s="75"/>
      <c r="AQ16" s="75"/>
      <c r="AR16" s="189"/>
      <c r="AS16" s="189"/>
      <c r="AT16" s="189"/>
      <c r="AU16" s="189"/>
      <c r="AV16" s="75"/>
      <c r="AW16" s="75"/>
      <c r="AX16" s="189"/>
      <c r="AY16" s="189"/>
      <c r="AZ16" s="189"/>
      <c r="BA16" s="189"/>
      <c r="BB16" s="75"/>
      <c r="BC16" s="75"/>
      <c r="BD16" s="189"/>
      <c r="BE16" s="189"/>
      <c r="BF16" s="189"/>
      <c r="BG16" s="189"/>
      <c r="BH16" s="75"/>
      <c r="BI16" s="75"/>
      <c r="BJ16" s="189"/>
      <c r="BK16" s="189"/>
      <c r="BL16" s="189"/>
      <c r="BM16" s="189"/>
      <c r="BN16" s="75"/>
      <c r="BO16" s="75"/>
      <c r="BP16" s="189"/>
      <c r="BQ16" s="189"/>
      <c r="BR16" s="189"/>
      <c r="BS16" s="189"/>
      <c r="BT16" s="75"/>
      <c r="BU16" s="75"/>
      <c r="BV16" s="75"/>
      <c r="BW16" s="75"/>
      <c r="BX16" s="75"/>
      <c r="BY16" s="75"/>
      <c r="BZ16" s="75"/>
      <c r="CA16" s="75"/>
      <c r="CB16" s="75"/>
      <c r="CC16" s="75"/>
      <c r="CD16" s="75"/>
      <c r="CE16" s="75"/>
      <c r="CF16" s="75"/>
      <c r="CG16" s="75"/>
      <c r="CH16" s="75"/>
      <c r="CI16" s="75"/>
      <c r="CJ16" s="75"/>
      <c r="CK16" s="75"/>
      <c r="CL16" s="75"/>
      <c r="CM16" s="75"/>
      <c r="CN16" s="75"/>
      <c r="CO16" s="75"/>
      <c r="CP16" s="75"/>
      <c r="CQ16" s="75"/>
      <c r="CR16" s="75"/>
      <c r="CS16" s="75"/>
      <c r="CT16" s="75"/>
      <c r="CU16" s="75"/>
      <c r="CV16" s="75"/>
      <c r="CW16" s="75"/>
      <c r="CX16" s="75"/>
      <c r="CY16" s="60"/>
      <c r="CZ16" s="53"/>
      <c r="DA16" s="53"/>
      <c r="DB16" s="53"/>
      <c r="DC16" s="53"/>
      <c r="DD16" s="53"/>
      <c r="DE16" s="56"/>
      <c r="DF16" s="53"/>
      <c r="DG16" s="79"/>
    </row>
    <row r="17" spans="1:111" s="65" customFormat="1" ht="6" customHeight="1" x14ac:dyDescent="0.25">
      <c r="A17" s="51"/>
      <c r="B17" s="8"/>
      <c r="C17" s="8"/>
      <c r="D17" s="143"/>
      <c r="E17" s="143"/>
      <c r="F17" s="143"/>
      <c r="G17" s="143"/>
      <c r="H17" s="143"/>
      <c r="I17" s="143"/>
      <c r="J17" s="143"/>
      <c r="K17" s="114"/>
      <c r="L17" s="114"/>
      <c r="M17" s="123"/>
      <c r="N17" s="123"/>
      <c r="O17" s="123"/>
      <c r="P17" s="123"/>
      <c r="Q17" s="75"/>
      <c r="R17" s="75"/>
      <c r="S17" s="75"/>
      <c r="T17" s="75"/>
      <c r="U17" s="75"/>
      <c r="V17" s="75"/>
      <c r="W17" s="75"/>
      <c r="X17" s="75"/>
      <c r="Y17" s="75"/>
      <c r="Z17" s="75"/>
      <c r="AA17" s="75"/>
      <c r="AB17" s="75"/>
      <c r="AC17" s="75"/>
      <c r="AD17" s="75"/>
      <c r="AE17" s="75"/>
      <c r="AF17" s="75"/>
      <c r="AG17" s="75"/>
      <c r="AH17" s="75"/>
      <c r="AI17" s="75"/>
      <c r="AJ17" s="75"/>
      <c r="AK17" s="75"/>
      <c r="AL17" s="75"/>
      <c r="AM17" s="75"/>
      <c r="AN17" s="75"/>
      <c r="AO17" s="75"/>
      <c r="AP17" s="75"/>
      <c r="AQ17" s="75"/>
      <c r="AR17" s="189"/>
      <c r="AS17" s="189"/>
      <c r="AT17" s="189"/>
      <c r="AU17" s="189"/>
      <c r="AV17" s="75"/>
      <c r="AW17" s="75"/>
      <c r="AX17" s="189"/>
      <c r="AY17" s="189"/>
      <c r="AZ17" s="189"/>
      <c r="BA17" s="189"/>
      <c r="BB17" s="75"/>
      <c r="BC17" s="75"/>
      <c r="BD17" s="189"/>
      <c r="BE17" s="189"/>
      <c r="BF17" s="189"/>
      <c r="BG17" s="189"/>
      <c r="BH17" s="75"/>
      <c r="BI17" s="75"/>
      <c r="BJ17" s="189"/>
      <c r="BK17" s="189"/>
      <c r="BL17" s="189"/>
      <c r="BM17" s="189"/>
      <c r="BN17" s="75"/>
      <c r="BO17" s="75"/>
      <c r="BP17" s="189"/>
      <c r="BQ17" s="189"/>
      <c r="BR17" s="189"/>
      <c r="BS17" s="189"/>
      <c r="BT17" s="75"/>
      <c r="BU17" s="75"/>
      <c r="BV17" s="75"/>
      <c r="BW17" s="75"/>
      <c r="BX17" s="75"/>
      <c r="BY17" s="75"/>
      <c r="BZ17" s="75"/>
      <c r="CA17" s="75"/>
      <c r="CB17" s="75"/>
      <c r="CC17" s="75"/>
      <c r="CD17" s="75"/>
      <c r="CE17" s="75"/>
      <c r="CF17" s="75"/>
      <c r="CG17" s="75"/>
      <c r="CH17" s="75"/>
      <c r="CI17" s="75"/>
      <c r="CJ17" s="75"/>
      <c r="CK17" s="75"/>
      <c r="CL17" s="75"/>
      <c r="CM17" s="75"/>
      <c r="CN17" s="75"/>
      <c r="CO17" s="75"/>
      <c r="CP17" s="75"/>
      <c r="CQ17" s="75"/>
      <c r="CR17" s="75"/>
      <c r="CS17" s="75"/>
      <c r="CT17" s="75"/>
      <c r="CU17" s="75"/>
      <c r="CV17" s="75"/>
      <c r="CW17" s="75"/>
      <c r="CX17" s="75"/>
      <c r="CY17" s="169" t="s">
        <v>31</v>
      </c>
      <c r="CZ17" s="152" t="s">
        <v>39</v>
      </c>
      <c r="DA17" s="152"/>
      <c r="DB17" s="152"/>
      <c r="DC17" s="152"/>
      <c r="DD17" s="152"/>
      <c r="DE17" s="113"/>
      <c r="DF17" s="53"/>
      <c r="DG17" s="79"/>
    </row>
    <row r="18" spans="1:111" s="65" customFormat="1" ht="6" customHeight="1" x14ac:dyDescent="0.25">
      <c r="A18" s="51"/>
      <c r="B18" s="8"/>
      <c r="C18" s="8"/>
      <c r="D18" s="144"/>
      <c r="E18" s="144"/>
      <c r="F18" s="144"/>
      <c r="G18" s="144"/>
      <c r="H18" s="144"/>
      <c r="I18" s="144"/>
      <c r="J18" s="144"/>
      <c r="K18" s="114"/>
      <c r="L18" s="114"/>
      <c r="M18" s="123"/>
      <c r="N18" s="123"/>
      <c r="O18" s="123"/>
      <c r="P18" s="123"/>
      <c r="Q18" s="75"/>
      <c r="R18" s="75"/>
      <c r="S18" s="75"/>
      <c r="T18" s="75"/>
      <c r="U18" s="75"/>
      <c r="V18" s="75"/>
      <c r="W18" s="75"/>
      <c r="X18" s="75"/>
      <c r="Y18" s="75"/>
      <c r="Z18" s="75"/>
      <c r="AA18" s="75"/>
      <c r="AB18" s="75"/>
      <c r="AC18" s="75"/>
      <c r="AD18" s="75"/>
      <c r="AE18" s="75"/>
      <c r="AF18" s="75"/>
      <c r="AG18" s="75"/>
      <c r="AH18" s="75"/>
      <c r="AI18" s="75"/>
      <c r="AJ18" s="75"/>
      <c r="AK18" s="75"/>
      <c r="AL18" s="75"/>
      <c r="AM18" s="75"/>
      <c r="AN18" s="75"/>
      <c r="AO18" s="75"/>
      <c r="AP18" s="75"/>
      <c r="AQ18" s="75"/>
      <c r="AR18" s="75"/>
      <c r="AS18" s="75"/>
      <c r="AT18" s="75"/>
      <c r="AU18" s="75"/>
      <c r="AV18" s="75"/>
      <c r="AW18" s="75"/>
      <c r="AX18" s="75"/>
      <c r="AY18" s="75"/>
      <c r="AZ18" s="75"/>
      <c r="BA18" s="75"/>
      <c r="BB18" s="75"/>
      <c r="BC18" s="75"/>
      <c r="BD18" s="75"/>
      <c r="BE18" s="75"/>
      <c r="BF18" s="75"/>
      <c r="BG18" s="75"/>
      <c r="BH18" s="75"/>
      <c r="BI18" s="75"/>
      <c r="BJ18" s="75"/>
      <c r="BK18" s="75"/>
      <c r="BL18" s="75"/>
      <c r="BM18" s="75"/>
      <c r="BN18" s="75"/>
      <c r="BO18" s="75"/>
      <c r="BP18" s="75"/>
      <c r="BQ18" s="75"/>
      <c r="BR18" s="75"/>
      <c r="BS18" s="75"/>
      <c r="BT18" s="75"/>
      <c r="BU18" s="75"/>
      <c r="BV18" s="75"/>
      <c r="BW18" s="75"/>
      <c r="BX18" s="75"/>
      <c r="BY18" s="75"/>
      <c r="BZ18" s="75"/>
      <c r="CA18" s="75"/>
      <c r="CB18" s="75"/>
      <c r="CC18" s="75"/>
      <c r="CD18" s="75"/>
      <c r="CE18" s="75"/>
      <c r="CF18" s="75"/>
      <c r="CG18" s="75"/>
      <c r="CH18" s="75"/>
      <c r="CI18" s="75"/>
      <c r="CJ18" s="75"/>
      <c r="CK18" s="75"/>
      <c r="CL18" s="75"/>
      <c r="CM18" s="75"/>
      <c r="CN18" s="75"/>
      <c r="CO18" s="75"/>
      <c r="CP18" s="75"/>
      <c r="CQ18" s="75"/>
      <c r="CR18" s="75"/>
      <c r="CS18" s="75"/>
      <c r="CT18" s="75"/>
      <c r="CU18" s="75"/>
      <c r="CV18" s="75"/>
      <c r="CW18" s="75"/>
      <c r="CX18" s="75"/>
      <c r="CY18" s="169"/>
      <c r="CZ18" s="152"/>
      <c r="DA18" s="152"/>
      <c r="DB18" s="152"/>
      <c r="DC18" s="152"/>
      <c r="DD18" s="152"/>
      <c r="DE18" s="113"/>
      <c r="DF18" s="53"/>
      <c r="DG18" s="79"/>
    </row>
    <row r="19" spans="1:111" s="65" customFormat="1" ht="6" customHeight="1" x14ac:dyDescent="0.25">
      <c r="A19" s="51"/>
      <c r="B19" s="8"/>
      <c r="C19" s="8"/>
      <c r="D19" s="93"/>
      <c r="E19" s="93"/>
      <c r="F19" s="93"/>
      <c r="G19" s="93"/>
      <c r="H19" s="114"/>
      <c r="I19" s="114"/>
      <c r="J19" s="114"/>
      <c r="K19" s="114"/>
      <c r="L19" s="114"/>
      <c r="M19" s="123"/>
      <c r="N19" s="123"/>
      <c r="O19" s="123"/>
      <c r="P19" s="123"/>
      <c r="Q19" s="75"/>
      <c r="R19" s="75"/>
      <c r="S19" s="75"/>
      <c r="T19" s="75"/>
      <c r="U19" s="75"/>
      <c r="V19" s="75"/>
      <c r="W19" s="75"/>
      <c r="X19" s="75"/>
      <c r="Y19" s="75"/>
      <c r="Z19" s="75"/>
      <c r="AA19" s="75"/>
      <c r="AB19" s="75"/>
      <c r="AC19" s="75"/>
      <c r="AD19" s="75"/>
      <c r="AE19" s="75"/>
      <c r="AF19" s="75"/>
      <c r="AG19" s="75"/>
      <c r="AH19" s="75"/>
      <c r="AI19" s="75"/>
      <c r="AJ19" s="75"/>
      <c r="AK19" s="75"/>
      <c r="AL19" s="75"/>
      <c r="AM19" s="75"/>
      <c r="AN19" s="75"/>
      <c r="AO19" s="189"/>
      <c r="AP19" s="189"/>
      <c r="AQ19" s="189"/>
      <c r="AR19" s="189"/>
      <c r="AS19" s="75"/>
      <c r="AT19" s="75"/>
      <c r="AU19" s="189"/>
      <c r="AV19" s="189"/>
      <c r="AW19" s="189"/>
      <c r="AX19" s="189"/>
      <c r="AY19" s="75"/>
      <c r="AZ19" s="75"/>
      <c r="BA19" s="189"/>
      <c r="BB19" s="189"/>
      <c r="BC19" s="189"/>
      <c r="BD19" s="189"/>
      <c r="BE19" s="75"/>
      <c r="BF19" s="75"/>
      <c r="BG19" s="189"/>
      <c r="BH19" s="189"/>
      <c r="BI19" s="189"/>
      <c r="BJ19" s="189"/>
      <c r="BK19" s="75"/>
      <c r="BL19" s="75"/>
      <c r="BM19" s="189"/>
      <c r="BN19" s="189"/>
      <c r="BO19" s="189"/>
      <c r="BP19" s="189"/>
      <c r="BQ19" s="75"/>
      <c r="BR19" s="75"/>
      <c r="BS19" s="189"/>
      <c r="BT19" s="189"/>
      <c r="BU19" s="189"/>
      <c r="BV19" s="189"/>
      <c r="BW19" s="75"/>
      <c r="BX19" s="75"/>
      <c r="BY19" s="75"/>
      <c r="BZ19" s="75"/>
      <c r="CA19" s="75"/>
      <c r="CB19" s="75"/>
      <c r="CC19" s="75"/>
      <c r="CD19" s="75"/>
      <c r="CE19" s="75"/>
      <c r="CF19" s="75"/>
      <c r="CG19" s="75"/>
      <c r="CH19" s="75"/>
      <c r="CI19" s="75"/>
      <c r="CJ19" s="75"/>
      <c r="CK19" s="75"/>
      <c r="CL19" s="75"/>
      <c r="CM19" s="75"/>
      <c r="CN19" s="75"/>
      <c r="CO19" s="75"/>
      <c r="CP19" s="75"/>
      <c r="CQ19" s="75"/>
      <c r="CR19" s="75"/>
      <c r="CS19" s="75"/>
      <c r="CT19" s="75"/>
      <c r="CU19" s="75"/>
      <c r="CV19" s="75"/>
      <c r="CW19" s="75"/>
      <c r="CX19" s="75"/>
      <c r="CY19" s="60"/>
      <c r="CZ19" s="53"/>
      <c r="DA19" s="53"/>
      <c r="DB19" s="53"/>
      <c r="DC19" s="53"/>
      <c r="DD19" s="53"/>
      <c r="DE19" s="56"/>
      <c r="DF19" s="53"/>
      <c r="DG19" s="79"/>
    </row>
    <row r="20" spans="1:111" s="65" customFormat="1" ht="6" customHeight="1" x14ac:dyDescent="0.25">
      <c r="A20" s="51"/>
      <c r="B20" s="8"/>
      <c r="C20" s="8"/>
      <c r="D20" s="143"/>
      <c r="E20" s="143"/>
      <c r="F20" s="143"/>
      <c r="G20" s="143"/>
      <c r="H20" s="143"/>
      <c r="I20" s="143"/>
      <c r="J20" s="143"/>
      <c r="K20" s="114"/>
      <c r="L20" s="114"/>
      <c r="M20" s="123"/>
      <c r="N20" s="123"/>
      <c r="O20" s="123"/>
      <c r="P20" s="123"/>
      <c r="Q20" s="75"/>
      <c r="R20" s="75"/>
      <c r="S20" s="75"/>
      <c r="T20" s="75"/>
      <c r="U20" s="75"/>
      <c r="V20" s="75"/>
      <c r="W20" s="75"/>
      <c r="X20" s="75"/>
      <c r="Y20" s="75"/>
      <c r="Z20" s="75"/>
      <c r="AA20" s="75"/>
      <c r="AB20" s="75"/>
      <c r="AC20" s="75"/>
      <c r="AD20" s="75"/>
      <c r="AE20" s="75"/>
      <c r="AF20" s="75"/>
      <c r="AG20" s="75"/>
      <c r="AH20" s="75"/>
      <c r="AI20" s="75"/>
      <c r="AJ20" s="75"/>
      <c r="AK20" s="75"/>
      <c r="AL20" s="75"/>
      <c r="AM20" s="75"/>
      <c r="AN20" s="75"/>
      <c r="AO20" s="189"/>
      <c r="AP20" s="189"/>
      <c r="AQ20" s="189"/>
      <c r="AR20" s="189"/>
      <c r="AS20" s="75"/>
      <c r="AT20" s="75"/>
      <c r="AU20" s="189"/>
      <c r="AV20" s="189"/>
      <c r="AW20" s="189"/>
      <c r="AX20" s="189"/>
      <c r="AY20" s="75"/>
      <c r="AZ20" s="75"/>
      <c r="BA20" s="189"/>
      <c r="BB20" s="189"/>
      <c r="BC20" s="189"/>
      <c r="BD20" s="189"/>
      <c r="BE20" s="75"/>
      <c r="BF20" s="75"/>
      <c r="BG20" s="189"/>
      <c r="BH20" s="189"/>
      <c r="BI20" s="189"/>
      <c r="BJ20" s="189"/>
      <c r="BK20" s="75"/>
      <c r="BL20" s="75"/>
      <c r="BM20" s="189"/>
      <c r="BN20" s="189"/>
      <c r="BO20" s="189"/>
      <c r="BP20" s="189"/>
      <c r="BQ20" s="75"/>
      <c r="BR20" s="75"/>
      <c r="BS20" s="189"/>
      <c r="BT20" s="189"/>
      <c r="BU20" s="189"/>
      <c r="BV20" s="189"/>
      <c r="BW20" s="75"/>
      <c r="BX20" s="75"/>
      <c r="BY20" s="75"/>
      <c r="BZ20" s="75"/>
      <c r="CA20" s="75"/>
      <c r="CB20" s="75"/>
      <c r="CC20" s="75"/>
      <c r="CD20" s="75"/>
      <c r="CE20" s="75"/>
      <c r="CF20" s="75"/>
      <c r="CG20" s="75"/>
      <c r="CH20" s="75"/>
      <c r="CI20" s="75"/>
      <c r="CJ20" s="75"/>
      <c r="CK20" s="75"/>
      <c r="CL20" s="75"/>
      <c r="CM20" s="75"/>
      <c r="CN20" s="75"/>
      <c r="CO20" s="75"/>
      <c r="CP20" s="75"/>
      <c r="CQ20" s="75"/>
      <c r="CR20" s="75"/>
      <c r="CS20" s="75"/>
      <c r="CT20" s="75"/>
      <c r="CU20" s="75"/>
      <c r="CV20" s="75"/>
      <c r="CW20" s="75"/>
      <c r="CX20" s="75"/>
      <c r="CY20" s="169" t="s">
        <v>30</v>
      </c>
      <c r="CZ20" s="152" t="s">
        <v>38</v>
      </c>
      <c r="DA20" s="152"/>
      <c r="DB20" s="152"/>
      <c r="DC20" s="152"/>
      <c r="DD20" s="152"/>
      <c r="DE20" s="113"/>
      <c r="DF20" s="53"/>
      <c r="DG20" s="79"/>
    </row>
    <row r="21" spans="1:111" s="65" customFormat="1" ht="6" customHeight="1" x14ac:dyDescent="0.25">
      <c r="A21" s="51"/>
      <c r="B21" s="8"/>
      <c r="C21" s="8"/>
      <c r="D21" s="144"/>
      <c r="E21" s="144"/>
      <c r="F21" s="144"/>
      <c r="G21" s="144"/>
      <c r="H21" s="144"/>
      <c r="I21" s="144"/>
      <c r="J21" s="144"/>
      <c r="K21" s="114"/>
      <c r="L21" s="114"/>
      <c r="M21" s="123"/>
      <c r="N21" s="123"/>
      <c r="O21" s="123"/>
      <c r="P21" s="123"/>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c r="BQ21" s="75"/>
      <c r="BR21" s="75"/>
      <c r="BS21" s="75"/>
      <c r="BT21" s="75"/>
      <c r="BU21" s="75"/>
      <c r="BV21" s="75"/>
      <c r="BW21" s="75"/>
      <c r="BX21" s="75"/>
      <c r="BY21" s="75"/>
      <c r="BZ21" s="75"/>
      <c r="CA21" s="75"/>
      <c r="CB21" s="75"/>
      <c r="CC21" s="75"/>
      <c r="CD21" s="75"/>
      <c r="CE21" s="75"/>
      <c r="CF21" s="75"/>
      <c r="CG21" s="75"/>
      <c r="CH21" s="75"/>
      <c r="CI21" s="75"/>
      <c r="CJ21" s="75"/>
      <c r="CK21" s="75"/>
      <c r="CL21" s="75"/>
      <c r="CM21" s="75"/>
      <c r="CN21" s="75"/>
      <c r="CO21" s="75"/>
      <c r="CP21" s="75"/>
      <c r="CQ21" s="75"/>
      <c r="CR21" s="75"/>
      <c r="CS21" s="75"/>
      <c r="CT21" s="75"/>
      <c r="CU21" s="75"/>
      <c r="CV21" s="75"/>
      <c r="CW21" s="75"/>
      <c r="CX21" s="75"/>
      <c r="CY21" s="169"/>
      <c r="CZ21" s="152"/>
      <c r="DA21" s="152"/>
      <c r="DB21" s="152"/>
      <c r="DC21" s="152"/>
      <c r="DD21" s="152"/>
      <c r="DE21" s="113"/>
      <c r="DF21" s="53"/>
      <c r="DG21" s="79"/>
    </row>
    <row r="22" spans="1:111" s="65" customFormat="1" ht="6" customHeight="1" x14ac:dyDescent="0.25">
      <c r="A22" s="51"/>
      <c r="B22" s="8"/>
      <c r="C22" s="8"/>
      <c r="D22" s="93"/>
      <c r="E22" s="93"/>
      <c r="F22" s="93"/>
      <c r="G22" s="93"/>
      <c r="H22" s="114"/>
      <c r="I22" s="114"/>
      <c r="J22" s="114"/>
      <c r="K22" s="114"/>
      <c r="L22" s="114"/>
      <c r="M22" s="123"/>
      <c r="N22" s="123"/>
      <c r="O22" s="123"/>
      <c r="P22" s="123"/>
      <c r="Q22" s="75"/>
      <c r="R22" s="75"/>
      <c r="S22" s="75"/>
      <c r="T22" s="75"/>
      <c r="U22" s="75"/>
      <c r="V22" s="75"/>
      <c r="W22" s="75"/>
      <c r="X22" s="75"/>
      <c r="Y22" s="75"/>
      <c r="Z22" s="75"/>
      <c r="AA22" s="75"/>
      <c r="AB22" s="75"/>
      <c r="AC22" s="75"/>
      <c r="AD22" s="75"/>
      <c r="AE22" s="75"/>
      <c r="AF22" s="75"/>
      <c r="AG22" s="75"/>
      <c r="AH22" s="75"/>
      <c r="AI22" s="75"/>
      <c r="AJ22" s="75"/>
      <c r="AK22" s="75"/>
      <c r="AL22" s="189"/>
      <c r="AM22" s="189"/>
      <c r="AN22" s="189"/>
      <c r="AO22" s="189"/>
      <c r="AP22" s="75"/>
      <c r="AQ22" s="75"/>
      <c r="AR22" s="189"/>
      <c r="AS22" s="189"/>
      <c r="AT22" s="189"/>
      <c r="AU22" s="189"/>
      <c r="AV22" s="75"/>
      <c r="AW22" s="75"/>
      <c r="AX22" s="189"/>
      <c r="AY22" s="189"/>
      <c r="AZ22" s="189"/>
      <c r="BA22" s="189"/>
      <c r="BB22" s="75"/>
      <c r="BC22" s="75"/>
      <c r="BD22" s="189"/>
      <c r="BE22" s="189"/>
      <c r="BF22" s="189"/>
      <c r="BG22" s="189"/>
      <c r="BH22" s="75"/>
      <c r="BI22" s="75"/>
      <c r="BJ22" s="189"/>
      <c r="BK22" s="189"/>
      <c r="BL22" s="189"/>
      <c r="BM22" s="189"/>
      <c r="BN22" s="75"/>
      <c r="BO22" s="75"/>
      <c r="BP22" s="189"/>
      <c r="BQ22" s="189"/>
      <c r="BR22" s="189"/>
      <c r="BS22" s="189"/>
      <c r="BT22" s="75"/>
      <c r="BU22" s="75"/>
      <c r="BV22" s="189"/>
      <c r="BW22" s="189"/>
      <c r="BX22" s="189"/>
      <c r="BY22" s="189"/>
      <c r="BZ22" s="75"/>
      <c r="CA22" s="75"/>
      <c r="CB22" s="75"/>
      <c r="CC22" s="75"/>
      <c r="CD22" s="75"/>
      <c r="CE22" s="75"/>
      <c r="CF22" s="75"/>
      <c r="CG22" s="75"/>
      <c r="CH22" s="75"/>
      <c r="CI22" s="75"/>
      <c r="CJ22" s="75"/>
      <c r="CK22" s="75"/>
      <c r="CL22" s="75"/>
      <c r="CM22" s="75"/>
      <c r="CN22" s="75"/>
      <c r="CO22" s="75"/>
      <c r="CP22" s="75"/>
      <c r="CQ22" s="75"/>
      <c r="CR22" s="75"/>
      <c r="CS22" s="75"/>
      <c r="CT22" s="75"/>
      <c r="CU22" s="75"/>
      <c r="CV22" s="75"/>
      <c r="CW22" s="75"/>
      <c r="CX22" s="75"/>
      <c r="CY22" s="60"/>
      <c r="CZ22" s="53"/>
      <c r="DA22" s="53"/>
      <c r="DB22" s="53"/>
      <c r="DC22" s="53"/>
      <c r="DD22" s="53"/>
      <c r="DE22" s="56"/>
      <c r="DF22" s="53"/>
      <c r="DG22" s="79"/>
    </row>
    <row r="23" spans="1:111" s="65" customFormat="1" ht="6" customHeight="1" x14ac:dyDescent="0.25">
      <c r="A23" s="51"/>
      <c r="B23" s="8"/>
      <c r="C23" s="8"/>
      <c r="D23" s="143"/>
      <c r="E23" s="143"/>
      <c r="F23" s="143"/>
      <c r="G23" s="143"/>
      <c r="H23" s="143"/>
      <c r="I23" s="143"/>
      <c r="J23" s="143"/>
      <c r="K23" s="114"/>
      <c r="L23" s="114"/>
      <c r="M23" s="123"/>
      <c r="N23" s="123"/>
      <c r="O23" s="123"/>
      <c r="P23" s="123"/>
      <c r="Q23" s="75"/>
      <c r="R23" s="75"/>
      <c r="S23" s="75"/>
      <c r="T23" s="75"/>
      <c r="U23" s="75"/>
      <c r="V23" s="75"/>
      <c r="W23" s="75"/>
      <c r="X23" s="75"/>
      <c r="Y23" s="75"/>
      <c r="Z23" s="75"/>
      <c r="AA23" s="75"/>
      <c r="AB23" s="75"/>
      <c r="AC23" s="75"/>
      <c r="AD23" s="75"/>
      <c r="AE23" s="75"/>
      <c r="AF23" s="75"/>
      <c r="AG23" s="75"/>
      <c r="AH23" s="75"/>
      <c r="AI23" s="75"/>
      <c r="AJ23" s="75"/>
      <c r="AK23" s="75"/>
      <c r="AL23" s="189"/>
      <c r="AM23" s="189"/>
      <c r="AN23" s="189"/>
      <c r="AO23" s="189"/>
      <c r="AP23" s="75"/>
      <c r="AQ23" s="75"/>
      <c r="AR23" s="189"/>
      <c r="AS23" s="189"/>
      <c r="AT23" s="189"/>
      <c r="AU23" s="189"/>
      <c r="AV23" s="75"/>
      <c r="AW23" s="75"/>
      <c r="AX23" s="189"/>
      <c r="AY23" s="189"/>
      <c r="AZ23" s="189"/>
      <c r="BA23" s="189"/>
      <c r="BB23" s="75"/>
      <c r="BC23" s="75"/>
      <c r="BD23" s="189"/>
      <c r="BE23" s="189"/>
      <c r="BF23" s="189"/>
      <c r="BG23" s="189"/>
      <c r="BH23" s="75"/>
      <c r="BI23" s="75"/>
      <c r="BJ23" s="189"/>
      <c r="BK23" s="189"/>
      <c r="BL23" s="189"/>
      <c r="BM23" s="189"/>
      <c r="BN23" s="75"/>
      <c r="BO23" s="75"/>
      <c r="BP23" s="189"/>
      <c r="BQ23" s="189"/>
      <c r="BR23" s="189"/>
      <c r="BS23" s="189"/>
      <c r="BT23" s="75"/>
      <c r="BU23" s="75"/>
      <c r="BV23" s="189"/>
      <c r="BW23" s="189"/>
      <c r="BX23" s="189"/>
      <c r="BY23" s="189"/>
      <c r="BZ23" s="75"/>
      <c r="CA23" s="75"/>
      <c r="CB23" s="75"/>
      <c r="CC23" s="75"/>
      <c r="CD23" s="75"/>
      <c r="CE23" s="75"/>
      <c r="CF23" s="75"/>
      <c r="CG23" s="75"/>
      <c r="CH23" s="75"/>
      <c r="CI23" s="75"/>
      <c r="CJ23" s="75"/>
      <c r="CK23" s="75"/>
      <c r="CL23" s="75"/>
      <c r="CM23" s="75"/>
      <c r="CN23" s="75"/>
      <c r="CO23" s="75"/>
      <c r="CP23" s="75"/>
      <c r="CQ23" s="75"/>
      <c r="CR23" s="75"/>
      <c r="CS23" s="75"/>
      <c r="CT23" s="75"/>
      <c r="CU23" s="75"/>
      <c r="CV23" s="75"/>
      <c r="CW23" s="75"/>
      <c r="CX23" s="75"/>
      <c r="CY23" s="169" t="s">
        <v>4</v>
      </c>
      <c r="CZ23" s="152" t="s">
        <v>41</v>
      </c>
      <c r="DA23" s="152"/>
      <c r="DB23" s="152"/>
      <c r="DC23" s="152"/>
      <c r="DD23" s="152"/>
      <c r="DE23" s="113"/>
      <c r="DF23" s="53"/>
      <c r="DG23" s="79"/>
    </row>
    <row r="24" spans="1:111" s="65" customFormat="1" ht="6" customHeight="1" x14ac:dyDescent="0.25">
      <c r="A24" s="51"/>
      <c r="B24" s="8"/>
      <c r="C24" s="8"/>
      <c r="D24" s="144"/>
      <c r="E24" s="144"/>
      <c r="F24" s="144"/>
      <c r="G24" s="144"/>
      <c r="H24" s="144"/>
      <c r="I24" s="144"/>
      <c r="J24" s="144"/>
      <c r="K24" s="114"/>
      <c r="L24" s="114"/>
      <c r="M24" s="123"/>
      <c r="N24" s="123"/>
      <c r="O24" s="123"/>
      <c r="P24" s="123"/>
      <c r="Q24" s="75"/>
      <c r="R24" s="75"/>
      <c r="S24" s="75"/>
      <c r="T24" s="75"/>
      <c r="U24" s="75"/>
      <c r="V24" s="75"/>
      <c r="W24" s="75"/>
      <c r="X24" s="75"/>
      <c r="Y24" s="75"/>
      <c r="Z24" s="75"/>
      <c r="AA24" s="75"/>
      <c r="AB24" s="75"/>
      <c r="AC24" s="75"/>
      <c r="AD24" s="75"/>
      <c r="AE24" s="75"/>
      <c r="AF24" s="75"/>
      <c r="AG24" s="75"/>
      <c r="AH24" s="75"/>
      <c r="AI24" s="75"/>
      <c r="AJ24" s="75"/>
      <c r="AK24" s="75"/>
      <c r="AL24" s="75"/>
      <c r="AM24" s="75"/>
      <c r="AN24" s="75"/>
      <c r="AO24" s="75"/>
      <c r="AP24" s="75"/>
      <c r="AQ24" s="75"/>
      <c r="AR24" s="75"/>
      <c r="AS24" s="75"/>
      <c r="AT24" s="75"/>
      <c r="AU24" s="75"/>
      <c r="AV24" s="75"/>
      <c r="AW24" s="75"/>
      <c r="AX24" s="75"/>
      <c r="AY24" s="75"/>
      <c r="AZ24" s="75"/>
      <c r="BA24" s="75"/>
      <c r="BB24" s="75"/>
      <c r="BC24" s="75"/>
      <c r="BD24" s="75"/>
      <c r="BE24" s="75"/>
      <c r="BF24" s="75"/>
      <c r="BG24" s="75"/>
      <c r="BH24" s="75"/>
      <c r="BI24" s="75"/>
      <c r="BJ24" s="75"/>
      <c r="BK24" s="75"/>
      <c r="BL24" s="75"/>
      <c r="BM24" s="75"/>
      <c r="BN24" s="75"/>
      <c r="BO24" s="75"/>
      <c r="BP24" s="75"/>
      <c r="BQ24" s="75"/>
      <c r="BR24" s="75"/>
      <c r="BS24" s="75"/>
      <c r="BT24" s="75"/>
      <c r="BU24" s="75"/>
      <c r="BV24" s="75"/>
      <c r="BW24" s="75"/>
      <c r="BX24" s="75"/>
      <c r="BY24" s="75"/>
      <c r="BZ24" s="75"/>
      <c r="CA24" s="75"/>
      <c r="CB24" s="75"/>
      <c r="CC24" s="75"/>
      <c r="CD24" s="75"/>
      <c r="CE24" s="75"/>
      <c r="CF24" s="75"/>
      <c r="CG24" s="75"/>
      <c r="CH24" s="75"/>
      <c r="CI24" s="75"/>
      <c r="CJ24" s="75"/>
      <c r="CK24" s="75"/>
      <c r="CL24" s="75"/>
      <c r="CM24" s="75"/>
      <c r="CN24" s="75"/>
      <c r="CO24" s="75"/>
      <c r="CP24" s="75"/>
      <c r="CQ24" s="75"/>
      <c r="CR24" s="75"/>
      <c r="CS24" s="75"/>
      <c r="CT24" s="75"/>
      <c r="CU24" s="75"/>
      <c r="CV24" s="75"/>
      <c r="CW24" s="75"/>
      <c r="CX24" s="75"/>
      <c r="CY24" s="169"/>
      <c r="CZ24" s="152"/>
      <c r="DA24" s="152"/>
      <c r="DB24" s="152"/>
      <c r="DC24" s="152"/>
      <c r="DD24" s="152"/>
      <c r="DE24" s="113"/>
      <c r="DF24" s="53"/>
      <c r="DG24" s="79"/>
    </row>
    <row r="25" spans="1:111" s="65" customFormat="1" ht="6" customHeight="1" x14ac:dyDescent="0.25">
      <c r="A25" s="51"/>
      <c r="B25" s="8"/>
      <c r="C25" s="8"/>
      <c r="D25" s="93"/>
      <c r="E25" s="93"/>
      <c r="F25" s="93"/>
      <c r="G25" s="93"/>
      <c r="H25" s="114"/>
      <c r="I25" s="114"/>
      <c r="J25" s="114"/>
      <c r="K25" s="114"/>
      <c r="L25" s="114"/>
      <c r="M25" s="123"/>
      <c r="N25" s="123"/>
      <c r="O25" s="123"/>
      <c r="P25" s="123"/>
      <c r="Q25" s="75"/>
      <c r="R25" s="75"/>
      <c r="S25" s="75"/>
      <c r="T25" s="75"/>
      <c r="U25" s="75"/>
      <c r="V25" s="75"/>
      <c r="W25" s="75"/>
      <c r="X25" s="75"/>
      <c r="Y25" s="75"/>
      <c r="Z25" s="75"/>
      <c r="AA25" s="75"/>
      <c r="AB25" s="75"/>
      <c r="AC25" s="75"/>
      <c r="AD25" s="75"/>
      <c r="AE25" s="75"/>
      <c r="AF25" s="75"/>
      <c r="AG25" s="75"/>
      <c r="AH25" s="75"/>
      <c r="AI25" s="189"/>
      <c r="AJ25" s="189"/>
      <c r="AK25" s="189"/>
      <c r="AL25" s="189"/>
      <c r="AM25" s="75"/>
      <c r="AN25" s="75"/>
      <c r="AO25" s="189"/>
      <c r="AP25" s="189"/>
      <c r="AQ25" s="189"/>
      <c r="AR25" s="189"/>
      <c r="AS25" s="75"/>
      <c r="AT25" s="75"/>
      <c r="AU25" s="189"/>
      <c r="AV25" s="189"/>
      <c r="AW25" s="189"/>
      <c r="AX25" s="189"/>
      <c r="AY25" s="75"/>
      <c r="AZ25" s="75"/>
      <c r="BA25" s="189"/>
      <c r="BB25" s="189"/>
      <c r="BC25" s="189"/>
      <c r="BD25" s="189"/>
      <c r="BE25" s="75"/>
      <c r="BF25" s="75"/>
      <c r="BG25" s="189"/>
      <c r="BH25" s="189"/>
      <c r="BI25" s="189"/>
      <c r="BJ25" s="189"/>
      <c r="BK25" s="75"/>
      <c r="BL25" s="75"/>
      <c r="BM25" s="189"/>
      <c r="BN25" s="189"/>
      <c r="BO25" s="189"/>
      <c r="BP25" s="189"/>
      <c r="BQ25" s="75"/>
      <c r="BR25" s="75"/>
      <c r="BS25" s="189"/>
      <c r="BT25" s="189"/>
      <c r="BU25" s="189"/>
      <c r="BV25" s="189"/>
      <c r="BW25" s="75"/>
      <c r="BX25" s="75"/>
      <c r="BY25" s="189"/>
      <c r="BZ25" s="189"/>
      <c r="CA25" s="189"/>
      <c r="CB25" s="189"/>
      <c r="CC25" s="75"/>
      <c r="CD25" s="75"/>
      <c r="CE25" s="75"/>
      <c r="CF25" s="75"/>
      <c r="CG25" s="75"/>
      <c r="CH25" s="75"/>
      <c r="CI25" s="75"/>
      <c r="CJ25" s="75"/>
      <c r="CK25" s="75"/>
      <c r="CL25" s="75"/>
      <c r="CM25" s="75"/>
      <c r="CN25" s="75"/>
      <c r="CO25" s="75"/>
      <c r="CP25" s="75"/>
      <c r="CQ25" s="75"/>
      <c r="CR25" s="75"/>
      <c r="CS25" s="75"/>
      <c r="CT25" s="75"/>
      <c r="CU25" s="75"/>
      <c r="CV25" s="75"/>
      <c r="CW25" s="75"/>
      <c r="CX25" s="75"/>
      <c r="CY25" s="55"/>
      <c r="CZ25" s="53"/>
      <c r="DA25" s="53"/>
      <c r="DB25" s="53"/>
      <c r="DC25" s="53"/>
      <c r="DD25" s="53"/>
      <c r="DE25" s="56"/>
      <c r="DF25" s="53"/>
      <c r="DG25" s="79"/>
    </row>
    <row r="26" spans="1:111" s="65" customFormat="1" ht="6" customHeight="1" x14ac:dyDescent="0.25">
      <c r="A26" s="51"/>
      <c r="B26" s="8"/>
      <c r="C26" s="8"/>
      <c r="D26" s="143"/>
      <c r="E26" s="143"/>
      <c r="F26" s="143"/>
      <c r="G26" s="143"/>
      <c r="H26" s="143"/>
      <c r="I26" s="143"/>
      <c r="J26" s="143"/>
      <c r="K26" s="114"/>
      <c r="L26" s="114"/>
      <c r="M26" s="123"/>
      <c r="N26" s="123"/>
      <c r="O26" s="123"/>
      <c r="P26" s="123"/>
      <c r="Q26" s="75"/>
      <c r="R26" s="75"/>
      <c r="S26" s="75"/>
      <c r="T26" s="75"/>
      <c r="U26" s="75"/>
      <c r="V26" s="75"/>
      <c r="W26" s="75"/>
      <c r="X26" s="75"/>
      <c r="Y26" s="75"/>
      <c r="Z26" s="75"/>
      <c r="AA26" s="75"/>
      <c r="AB26" s="75"/>
      <c r="AC26" s="75"/>
      <c r="AD26" s="75"/>
      <c r="AE26" s="75"/>
      <c r="AF26" s="75"/>
      <c r="AG26" s="75"/>
      <c r="AH26" s="75"/>
      <c r="AI26" s="189"/>
      <c r="AJ26" s="189"/>
      <c r="AK26" s="189"/>
      <c r="AL26" s="189"/>
      <c r="AM26" s="75"/>
      <c r="AN26" s="75"/>
      <c r="AO26" s="189"/>
      <c r="AP26" s="189"/>
      <c r="AQ26" s="189"/>
      <c r="AR26" s="189"/>
      <c r="AS26" s="75"/>
      <c r="AT26" s="75"/>
      <c r="AU26" s="189"/>
      <c r="AV26" s="189"/>
      <c r="AW26" s="189"/>
      <c r="AX26" s="189"/>
      <c r="AY26" s="75"/>
      <c r="AZ26" s="75"/>
      <c r="BA26" s="189"/>
      <c r="BB26" s="189"/>
      <c r="BC26" s="189"/>
      <c r="BD26" s="189"/>
      <c r="BE26" s="75"/>
      <c r="BF26" s="75"/>
      <c r="BG26" s="189"/>
      <c r="BH26" s="189"/>
      <c r="BI26" s="189"/>
      <c r="BJ26" s="189"/>
      <c r="BK26" s="75"/>
      <c r="BL26" s="75"/>
      <c r="BM26" s="189"/>
      <c r="BN26" s="189"/>
      <c r="BO26" s="189"/>
      <c r="BP26" s="189"/>
      <c r="BQ26" s="75"/>
      <c r="BR26" s="75"/>
      <c r="BS26" s="189"/>
      <c r="BT26" s="189"/>
      <c r="BU26" s="189"/>
      <c r="BV26" s="189"/>
      <c r="BW26" s="75"/>
      <c r="BX26" s="75"/>
      <c r="BY26" s="189"/>
      <c r="BZ26" s="189"/>
      <c r="CA26" s="189"/>
      <c r="CB26" s="189"/>
      <c r="CC26" s="75"/>
      <c r="CD26" s="75"/>
      <c r="CE26" s="75"/>
      <c r="CF26" s="75"/>
      <c r="CG26" s="75"/>
      <c r="CH26" s="75"/>
      <c r="CI26" s="75"/>
      <c r="CJ26" s="75"/>
      <c r="CK26" s="75"/>
      <c r="CL26" s="75"/>
      <c r="CM26" s="75"/>
      <c r="CN26" s="75"/>
      <c r="CO26" s="75"/>
      <c r="CP26" s="75"/>
      <c r="CQ26" s="75"/>
      <c r="CR26" s="75"/>
      <c r="CS26" s="75"/>
      <c r="CT26" s="75"/>
      <c r="CU26" s="75"/>
      <c r="CV26" s="75"/>
      <c r="CW26" s="75"/>
      <c r="CX26" s="75"/>
      <c r="CY26" s="162" t="s">
        <v>4</v>
      </c>
      <c r="CZ26" s="152" t="s">
        <v>45</v>
      </c>
      <c r="DA26" s="152"/>
      <c r="DB26" s="152"/>
      <c r="DC26" s="152"/>
      <c r="DD26" s="152"/>
      <c r="DE26" s="113"/>
      <c r="DF26" s="53"/>
      <c r="DG26" s="79"/>
    </row>
    <row r="27" spans="1:111" s="65" customFormat="1" ht="6" customHeight="1" x14ac:dyDescent="0.25">
      <c r="A27" s="51"/>
      <c r="B27" s="8"/>
      <c r="C27" s="8"/>
      <c r="D27" s="144"/>
      <c r="E27" s="144"/>
      <c r="F27" s="144"/>
      <c r="G27" s="144"/>
      <c r="H27" s="144"/>
      <c r="I27" s="144"/>
      <c r="J27" s="144"/>
      <c r="K27" s="114"/>
      <c r="L27" s="114"/>
      <c r="M27" s="123"/>
      <c r="N27" s="123"/>
      <c r="O27" s="123"/>
      <c r="P27" s="123"/>
      <c r="Q27" s="75"/>
      <c r="R27" s="75"/>
      <c r="S27" s="75"/>
      <c r="T27" s="75"/>
      <c r="U27" s="75"/>
      <c r="V27" s="75"/>
      <c r="W27" s="75"/>
      <c r="X27" s="75"/>
      <c r="Y27" s="75"/>
      <c r="Z27" s="75"/>
      <c r="AA27" s="75"/>
      <c r="AB27" s="75"/>
      <c r="AC27" s="75"/>
      <c r="AD27" s="75"/>
      <c r="AE27" s="75"/>
      <c r="AF27" s="75"/>
      <c r="AG27" s="75"/>
      <c r="AH27" s="75"/>
      <c r="AI27" s="75"/>
      <c r="AJ27" s="75"/>
      <c r="AK27" s="75"/>
      <c r="AL27" s="75"/>
      <c r="AM27" s="75"/>
      <c r="AN27" s="75"/>
      <c r="AO27" s="75"/>
      <c r="AP27" s="75"/>
      <c r="AQ27" s="75"/>
      <c r="AR27" s="75"/>
      <c r="AS27" s="75"/>
      <c r="AT27" s="75"/>
      <c r="AU27" s="75"/>
      <c r="AV27" s="75"/>
      <c r="AW27" s="75"/>
      <c r="AX27" s="75"/>
      <c r="AY27" s="75"/>
      <c r="AZ27" s="75"/>
      <c r="BA27" s="75"/>
      <c r="BB27" s="75"/>
      <c r="BC27" s="75"/>
      <c r="BD27" s="75"/>
      <c r="BE27" s="75"/>
      <c r="BF27" s="75"/>
      <c r="BG27" s="75"/>
      <c r="BH27" s="75"/>
      <c r="BI27" s="75"/>
      <c r="BJ27" s="75"/>
      <c r="BK27" s="75"/>
      <c r="BL27" s="75"/>
      <c r="BM27" s="75"/>
      <c r="BN27" s="75"/>
      <c r="BO27" s="75"/>
      <c r="BP27" s="75"/>
      <c r="BQ27" s="75"/>
      <c r="BR27" s="75"/>
      <c r="BS27" s="75"/>
      <c r="BT27" s="75"/>
      <c r="BU27" s="75"/>
      <c r="BV27" s="75"/>
      <c r="BW27" s="75"/>
      <c r="BX27" s="75"/>
      <c r="BY27" s="75"/>
      <c r="BZ27" s="75"/>
      <c r="CA27" s="75"/>
      <c r="CB27" s="75"/>
      <c r="CC27" s="75"/>
      <c r="CD27" s="75"/>
      <c r="CE27" s="75"/>
      <c r="CF27" s="75"/>
      <c r="CG27" s="75"/>
      <c r="CH27" s="75"/>
      <c r="CI27" s="75"/>
      <c r="CJ27" s="75"/>
      <c r="CK27" s="75"/>
      <c r="CL27" s="75"/>
      <c r="CM27" s="75"/>
      <c r="CN27" s="75"/>
      <c r="CO27" s="75"/>
      <c r="CP27" s="75"/>
      <c r="CQ27" s="75"/>
      <c r="CR27" s="75"/>
      <c r="CS27" s="75"/>
      <c r="CT27" s="75"/>
      <c r="CU27" s="75"/>
      <c r="CV27" s="75"/>
      <c r="CW27" s="75"/>
      <c r="CX27" s="75"/>
      <c r="CY27" s="162"/>
      <c r="CZ27" s="152"/>
      <c r="DA27" s="152"/>
      <c r="DB27" s="152"/>
      <c r="DC27" s="152"/>
      <c r="DD27" s="152"/>
      <c r="DE27" s="113"/>
      <c r="DF27" s="53"/>
      <c r="DG27" s="79"/>
    </row>
    <row r="28" spans="1:111" s="65" customFormat="1" ht="6" customHeight="1" x14ac:dyDescent="0.25">
      <c r="A28" s="51"/>
      <c r="B28" s="8"/>
      <c r="C28" s="8"/>
      <c r="D28" s="93"/>
      <c r="E28" s="93"/>
      <c r="F28" s="93"/>
      <c r="G28" s="93"/>
      <c r="H28" s="114"/>
      <c r="I28" s="114"/>
      <c r="J28" s="114"/>
      <c r="K28" s="114"/>
      <c r="L28" s="114"/>
      <c r="M28" s="123"/>
      <c r="N28" s="123"/>
      <c r="O28" s="123"/>
      <c r="P28" s="123"/>
      <c r="Q28" s="75"/>
      <c r="R28" s="75"/>
      <c r="S28" s="75"/>
      <c r="T28" s="75"/>
      <c r="U28" s="75"/>
      <c r="V28" s="75"/>
      <c r="W28" s="75"/>
      <c r="X28" s="75"/>
      <c r="Y28" s="75"/>
      <c r="Z28" s="75"/>
      <c r="AA28" s="75"/>
      <c r="AB28" s="75"/>
      <c r="AC28" s="75"/>
      <c r="AD28" s="75"/>
      <c r="AE28" s="75"/>
      <c r="AF28" s="189"/>
      <c r="AG28" s="189"/>
      <c r="AH28" s="189"/>
      <c r="AI28" s="189"/>
      <c r="AJ28" s="75"/>
      <c r="AK28" s="75"/>
      <c r="AL28" s="189"/>
      <c r="AM28" s="189"/>
      <c r="AN28" s="189"/>
      <c r="AO28" s="189"/>
      <c r="AP28" s="75"/>
      <c r="AQ28" s="75"/>
      <c r="AR28" s="189"/>
      <c r="AS28" s="189"/>
      <c r="AT28" s="189"/>
      <c r="AU28" s="189"/>
      <c r="AV28" s="75"/>
      <c r="AW28" s="75"/>
      <c r="AX28" s="189"/>
      <c r="AY28" s="189"/>
      <c r="AZ28" s="189"/>
      <c r="BA28" s="189"/>
      <c r="BB28" s="75"/>
      <c r="BC28" s="75"/>
      <c r="BD28" s="189"/>
      <c r="BE28" s="189"/>
      <c r="BF28" s="189"/>
      <c r="BG28" s="189"/>
      <c r="BH28" s="75"/>
      <c r="BI28" s="75"/>
      <c r="BJ28" s="189"/>
      <c r="BK28" s="189"/>
      <c r="BL28" s="189"/>
      <c r="BM28" s="189"/>
      <c r="BN28" s="75"/>
      <c r="BO28" s="75"/>
      <c r="BP28" s="189"/>
      <c r="BQ28" s="189"/>
      <c r="BR28" s="189"/>
      <c r="BS28" s="189"/>
      <c r="BT28" s="75"/>
      <c r="BU28" s="75"/>
      <c r="BV28" s="189"/>
      <c r="BW28" s="189"/>
      <c r="BX28" s="189"/>
      <c r="BY28" s="189"/>
      <c r="BZ28" s="75"/>
      <c r="CA28" s="75"/>
      <c r="CB28" s="189"/>
      <c r="CC28" s="189"/>
      <c r="CD28" s="189"/>
      <c r="CE28" s="189"/>
      <c r="CF28" s="75"/>
      <c r="CG28" s="75"/>
      <c r="CH28" s="75"/>
      <c r="CI28" s="75"/>
      <c r="CJ28" s="75"/>
      <c r="CK28" s="75"/>
      <c r="CL28" s="75"/>
      <c r="CM28" s="75"/>
      <c r="CN28" s="75"/>
      <c r="CO28" s="75"/>
      <c r="CP28" s="75"/>
      <c r="CQ28" s="75"/>
      <c r="CR28" s="75"/>
      <c r="CS28" s="75"/>
      <c r="CT28" s="75"/>
      <c r="CU28" s="75"/>
      <c r="CV28" s="75"/>
      <c r="CW28" s="75"/>
      <c r="CX28" s="75"/>
      <c r="CY28" s="61"/>
      <c r="CZ28" s="53"/>
      <c r="DA28" s="53"/>
      <c r="DB28" s="53"/>
      <c r="DC28" s="53"/>
      <c r="DD28" s="53"/>
      <c r="DE28" s="56"/>
      <c r="DF28" s="53"/>
      <c r="DG28" s="79"/>
    </row>
    <row r="29" spans="1:111" s="65" customFormat="1" ht="6" customHeight="1" x14ac:dyDescent="0.25">
      <c r="A29" s="51"/>
      <c r="B29" s="8"/>
      <c r="C29" s="8"/>
      <c r="D29" s="143"/>
      <c r="E29" s="143"/>
      <c r="F29" s="143"/>
      <c r="G29" s="143"/>
      <c r="H29" s="143"/>
      <c r="I29" s="143"/>
      <c r="J29" s="143"/>
      <c r="K29" s="114"/>
      <c r="L29" s="114"/>
      <c r="M29" s="123"/>
      <c r="N29" s="123"/>
      <c r="O29" s="123"/>
      <c r="P29" s="123"/>
      <c r="Q29" s="75"/>
      <c r="R29" s="75"/>
      <c r="S29" s="75"/>
      <c r="T29" s="75"/>
      <c r="U29" s="75"/>
      <c r="V29" s="75"/>
      <c r="W29" s="75"/>
      <c r="X29" s="75"/>
      <c r="Y29" s="75"/>
      <c r="Z29" s="75"/>
      <c r="AA29" s="75"/>
      <c r="AB29" s="75"/>
      <c r="AC29" s="75"/>
      <c r="AD29" s="75"/>
      <c r="AE29" s="75"/>
      <c r="AF29" s="189"/>
      <c r="AG29" s="189"/>
      <c r="AH29" s="189"/>
      <c r="AI29" s="189"/>
      <c r="AJ29" s="75"/>
      <c r="AK29" s="75"/>
      <c r="AL29" s="189"/>
      <c r="AM29" s="189"/>
      <c r="AN29" s="189"/>
      <c r="AO29" s="189"/>
      <c r="AP29" s="75"/>
      <c r="AQ29" s="75"/>
      <c r="AR29" s="189"/>
      <c r="AS29" s="189"/>
      <c r="AT29" s="189"/>
      <c r="AU29" s="189"/>
      <c r="AV29" s="75"/>
      <c r="AW29" s="75"/>
      <c r="AX29" s="189"/>
      <c r="AY29" s="189"/>
      <c r="AZ29" s="189"/>
      <c r="BA29" s="189"/>
      <c r="BB29" s="75"/>
      <c r="BC29" s="75"/>
      <c r="BD29" s="189"/>
      <c r="BE29" s="189"/>
      <c r="BF29" s="189"/>
      <c r="BG29" s="189"/>
      <c r="BH29" s="75"/>
      <c r="BI29" s="75"/>
      <c r="BJ29" s="189"/>
      <c r="BK29" s="189"/>
      <c r="BL29" s="189"/>
      <c r="BM29" s="189"/>
      <c r="BN29" s="75"/>
      <c r="BO29" s="75"/>
      <c r="BP29" s="189"/>
      <c r="BQ29" s="189"/>
      <c r="BR29" s="189"/>
      <c r="BS29" s="189"/>
      <c r="BT29" s="75"/>
      <c r="BU29" s="75"/>
      <c r="BV29" s="189"/>
      <c r="BW29" s="189"/>
      <c r="BX29" s="189"/>
      <c r="BY29" s="189"/>
      <c r="BZ29" s="75"/>
      <c r="CA29" s="75"/>
      <c r="CB29" s="189"/>
      <c r="CC29" s="189"/>
      <c r="CD29" s="189"/>
      <c r="CE29" s="189"/>
      <c r="CF29" s="75"/>
      <c r="CG29" s="75"/>
      <c r="CH29" s="75"/>
      <c r="CI29" s="75"/>
      <c r="CJ29" s="75"/>
      <c r="CK29" s="75"/>
      <c r="CL29" s="75"/>
      <c r="CM29" s="75"/>
      <c r="CN29" s="75"/>
      <c r="CO29" s="75"/>
      <c r="CP29" s="75"/>
      <c r="CQ29" s="75"/>
      <c r="CR29" s="75"/>
      <c r="CS29" s="75"/>
      <c r="CT29" s="75"/>
      <c r="CU29" s="75"/>
      <c r="CV29" s="75"/>
      <c r="CW29" s="75"/>
      <c r="CX29" s="75"/>
      <c r="CY29" s="162" t="s">
        <v>0</v>
      </c>
      <c r="CZ29" s="152" t="s">
        <v>46</v>
      </c>
      <c r="DA29" s="152"/>
      <c r="DB29" s="152"/>
      <c r="DC29" s="152"/>
      <c r="DD29" s="152"/>
      <c r="DE29" s="113"/>
      <c r="DF29" s="53"/>
      <c r="DG29" s="79"/>
    </row>
    <row r="30" spans="1:111" s="65" customFormat="1" ht="6" customHeight="1" x14ac:dyDescent="0.25">
      <c r="A30" s="51"/>
      <c r="B30" s="8"/>
      <c r="C30" s="8"/>
      <c r="D30" s="144"/>
      <c r="E30" s="144"/>
      <c r="F30" s="144"/>
      <c r="G30" s="144"/>
      <c r="H30" s="144"/>
      <c r="I30" s="144"/>
      <c r="J30" s="144"/>
      <c r="K30" s="114"/>
      <c r="L30" s="114"/>
      <c r="M30" s="123"/>
      <c r="N30" s="123"/>
      <c r="O30" s="123"/>
      <c r="P30" s="123"/>
      <c r="Q30" s="75"/>
      <c r="R30" s="75"/>
      <c r="S30" s="75"/>
      <c r="T30" s="75"/>
      <c r="U30" s="75"/>
      <c r="V30" s="75"/>
      <c r="W30" s="75"/>
      <c r="X30" s="75"/>
      <c r="Y30" s="75"/>
      <c r="Z30" s="75"/>
      <c r="AA30" s="75"/>
      <c r="AB30" s="75"/>
      <c r="AC30" s="75"/>
      <c r="AD30" s="75"/>
      <c r="AE30" s="75"/>
      <c r="AF30" s="75"/>
      <c r="AG30" s="75"/>
      <c r="AH30" s="75"/>
      <c r="AI30" s="75"/>
      <c r="AJ30" s="75"/>
      <c r="AK30" s="75"/>
      <c r="AL30" s="75"/>
      <c r="AM30" s="75"/>
      <c r="AN30" s="75"/>
      <c r="AO30" s="75"/>
      <c r="AP30" s="75"/>
      <c r="AQ30" s="75"/>
      <c r="AR30" s="75"/>
      <c r="AS30" s="75"/>
      <c r="AT30" s="75"/>
      <c r="AU30" s="75"/>
      <c r="AV30" s="75"/>
      <c r="AW30" s="75"/>
      <c r="AX30" s="75"/>
      <c r="AY30" s="75"/>
      <c r="AZ30" s="75"/>
      <c r="BA30" s="75"/>
      <c r="BB30" s="75"/>
      <c r="BC30" s="75"/>
      <c r="BD30" s="75"/>
      <c r="BE30" s="75"/>
      <c r="BF30" s="75"/>
      <c r="BG30" s="75"/>
      <c r="BH30" s="75"/>
      <c r="BI30" s="75"/>
      <c r="BJ30" s="75"/>
      <c r="BK30" s="75"/>
      <c r="BL30" s="75"/>
      <c r="BM30" s="75"/>
      <c r="BN30" s="75"/>
      <c r="BO30" s="75"/>
      <c r="BP30" s="75"/>
      <c r="BQ30" s="75"/>
      <c r="BR30" s="75"/>
      <c r="BS30" s="75"/>
      <c r="BT30" s="75"/>
      <c r="BU30" s="75"/>
      <c r="BV30" s="75"/>
      <c r="BW30" s="75"/>
      <c r="BX30" s="75"/>
      <c r="BY30" s="75"/>
      <c r="BZ30" s="75"/>
      <c r="CA30" s="75"/>
      <c r="CB30" s="75"/>
      <c r="CC30" s="75"/>
      <c r="CD30" s="75"/>
      <c r="CE30" s="75"/>
      <c r="CF30" s="75"/>
      <c r="CG30" s="75"/>
      <c r="CH30" s="75"/>
      <c r="CI30" s="75"/>
      <c r="CJ30" s="75"/>
      <c r="CK30" s="75"/>
      <c r="CL30" s="75"/>
      <c r="CM30" s="75"/>
      <c r="CN30" s="75"/>
      <c r="CO30" s="75"/>
      <c r="CP30" s="75"/>
      <c r="CQ30" s="75"/>
      <c r="CR30" s="75"/>
      <c r="CS30" s="75"/>
      <c r="CT30" s="75"/>
      <c r="CU30" s="75"/>
      <c r="CV30" s="75"/>
      <c r="CW30" s="75"/>
      <c r="CX30" s="75"/>
      <c r="CY30" s="162"/>
      <c r="CZ30" s="152"/>
      <c r="DA30" s="152"/>
      <c r="DB30" s="152"/>
      <c r="DC30" s="152"/>
      <c r="DD30" s="152"/>
      <c r="DE30" s="113"/>
      <c r="DF30" s="53"/>
      <c r="DG30" s="79"/>
    </row>
    <row r="31" spans="1:111" s="65" customFormat="1" ht="6" customHeight="1" x14ac:dyDescent="0.25">
      <c r="A31" s="51"/>
      <c r="B31" s="8"/>
      <c r="C31" s="8"/>
      <c r="D31" s="93"/>
      <c r="E31" s="93"/>
      <c r="F31" s="93"/>
      <c r="G31" s="93"/>
      <c r="H31" s="114"/>
      <c r="I31" s="114"/>
      <c r="J31" s="114"/>
      <c r="K31" s="114"/>
      <c r="L31" s="114"/>
      <c r="M31" s="123"/>
      <c r="N31" s="123"/>
      <c r="O31" s="123"/>
      <c r="P31" s="123"/>
      <c r="Q31" s="75"/>
      <c r="R31" s="75"/>
      <c r="S31" s="75"/>
      <c r="T31" s="75"/>
      <c r="U31" s="75"/>
      <c r="V31" s="75"/>
      <c r="W31" s="75"/>
      <c r="X31" s="75"/>
      <c r="Y31" s="75"/>
      <c r="Z31" s="75"/>
      <c r="AA31" s="75"/>
      <c r="AB31" s="75"/>
      <c r="AC31" s="189"/>
      <c r="AD31" s="189"/>
      <c r="AE31" s="189"/>
      <c r="AF31" s="189"/>
      <c r="AG31" s="75"/>
      <c r="AH31" s="75"/>
      <c r="AI31" s="189"/>
      <c r="AJ31" s="189"/>
      <c r="AK31" s="189"/>
      <c r="AL31" s="189"/>
      <c r="AM31" s="75"/>
      <c r="AN31" s="75"/>
      <c r="AO31" s="189"/>
      <c r="AP31" s="189"/>
      <c r="AQ31" s="189"/>
      <c r="AR31" s="189"/>
      <c r="AS31" s="75"/>
      <c r="AT31" s="75"/>
      <c r="AU31" s="189"/>
      <c r="AV31" s="189"/>
      <c r="AW31" s="189"/>
      <c r="AX31" s="189"/>
      <c r="AY31" s="75"/>
      <c r="AZ31" s="75"/>
      <c r="BA31" s="189"/>
      <c r="BB31" s="189"/>
      <c r="BC31" s="189"/>
      <c r="BD31" s="189"/>
      <c r="BE31" s="75"/>
      <c r="BF31" s="75"/>
      <c r="BG31" s="189"/>
      <c r="BH31" s="189"/>
      <c r="BI31" s="189"/>
      <c r="BJ31" s="189"/>
      <c r="BK31" s="75"/>
      <c r="BL31" s="75"/>
      <c r="BM31" s="189"/>
      <c r="BN31" s="189"/>
      <c r="BO31" s="189"/>
      <c r="BP31" s="189"/>
      <c r="BQ31" s="75"/>
      <c r="BR31" s="75"/>
      <c r="BS31" s="189"/>
      <c r="BT31" s="189"/>
      <c r="BU31" s="189"/>
      <c r="BV31" s="189"/>
      <c r="BW31" s="75"/>
      <c r="BX31" s="75"/>
      <c r="BY31" s="189"/>
      <c r="BZ31" s="189"/>
      <c r="CA31" s="189"/>
      <c r="CB31" s="189"/>
      <c r="CC31" s="75"/>
      <c r="CD31" s="75"/>
      <c r="CE31" s="189"/>
      <c r="CF31" s="189"/>
      <c r="CG31" s="189"/>
      <c r="CH31" s="189"/>
      <c r="CI31" s="75"/>
      <c r="CJ31" s="75"/>
      <c r="CK31" s="75"/>
      <c r="CL31" s="75"/>
      <c r="CM31" s="75"/>
      <c r="CN31" s="75"/>
      <c r="CO31" s="75"/>
      <c r="CP31" s="75"/>
      <c r="CQ31" s="75"/>
      <c r="CR31" s="75"/>
      <c r="CS31" s="75"/>
      <c r="CT31" s="75"/>
      <c r="CU31" s="75"/>
      <c r="CV31" s="75"/>
      <c r="CW31" s="75"/>
      <c r="CX31" s="75"/>
      <c r="CY31" s="61"/>
      <c r="CZ31" s="53"/>
      <c r="DA31" s="53"/>
      <c r="DB31" s="53"/>
      <c r="DC31" s="53"/>
      <c r="DD31" s="53"/>
      <c r="DE31" s="56"/>
      <c r="DF31" s="53"/>
      <c r="DG31" s="79"/>
    </row>
    <row r="32" spans="1:111" s="65" customFormat="1" ht="6" customHeight="1" x14ac:dyDescent="0.25">
      <c r="A32" s="51"/>
      <c r="B32" s="8"/>
      <c r="C32" s="8"/>
      <c r="D32" s="143"/>
      <c r="E32" s="143"/>
      <c r="F32" s="143"/>
      <c r="G32" s="143"/>
      <c r="H32" s="143"/>
      <c r="I32" s="143"/>
      <c r="J32" s="143"/>
      <c r="K32" s="114"/>
      <c r="L32" s="114"/>
      <c r="M32" s="123"/>
      <c r="N32" s="123"/>
      <c r="O32" s="123"/>
      <c r="P32" s="123"/>
      <c r="Q32" s="75"/>
      <c r="R32" s="75"/>
      <c r="S32" s="75"/>
      <c r="T32" s="75"/>
      <c r="U32" s="75"/>
      <c r="V32" s="75"/>
      <c r="W32" s="75"/>
      <c r="X32" s="75"/>
      <c r="Y32" s="75"/>
      <c r="Z32" s="75"/>
      <c r="AA32" s="75"/>
      <c r="AB32" s="75"/>
      <c r="AC32" s="189"/>
      <c r="AD32" s="189"/>
      <c r="AE32" s="189"/>
      <c r="AF32" s="189"/>
      <c r="AG32" s="75"/>
      <c r="AH32" s="75"/>
      <c r="AI32" s="189"/>
      <c r="AJ32" s="189"/>
      <c r="AK32" s="189"/>
      <c r="AL32" s="189"/>
      <c r="AM32" s="75"/>
      <c r="AN32" s="75"/>
      <c r="AO32" s="189"/>
      <c r="AP32" s="189"/>
      <c r="AQ32" s="189"/>
      <c r="AR32" s="189"/>
      <c r="AS32" s="75"/>
      <c r="AT32" s="75"/>
      <c r="AU32" s="189"/>
      <c r="AV32" s="189"/>
      <c r="AW32" s="189"/>
      <c r="AX32" s="189"/>
      <c r="AY32" s="75"/>
      <c r="AZ32" s="75"/>
      <c r="BA32" s="189"/>
      <c r="BB32" s="189"/>
      <c r="BC32" s="189"/>
      <c r="BD32" s="189"/>
      <c r="BE32" s="75"/>
      <c r="BF32" s="75"/>
      <c r="BG32" s="189"/>
      <c r="BH32" s="189"/>
      <c r="BI32" s="189"/>
      <c r="BJ32" s="189"/>
      <c r="BK32" s="75"/>
      <c r="BL32" s="75"/>
      <c r="BM32" s="189"/>
      <c r="BN32" s="189"/>
      <c r="BO32" s="189"/>
      <c r="BP32" s="189"/>
      <c r="BQ32" s="75"/>
      <c r="BR32" s="75"/>
      <c r="BS32" s="189"/>
      <c r="BT32" s="189"/>
      <c r="BU32" s="189"/>
      <c r="BV32" s="189"/>
      <c r="BW32" s="75"/>
      <c r="BX32" s="75"/>
      <c r="BY32" s="189"/>
      <c r="BZ32" s="189"/>
      <c r="CA32" s="189"/>
      <c r="CB32" s="189"/>
      <c r="CC32" s="75"/>
      <c r="CD32" s="75"/>
      <c r="CE32" s="189"/>
      <c r="CF32" s="189"/>
      <c r="CG32" s="189"/>
      <c r="CH32" s="189"/>
      <c r="CI32" s="75"/>
      <c r="CJ32" s="75"/>
      <c r="CK32" s="75"/>
      <c r="CL32" s="75"/>
      <c r="CM32" s="75"/>
      <c r="CN32" s="75"/>
      <c r="CO32" s="75"/>
      <c r="CP32" s="75"/>
      <c r="CQ32" s="75"/>
      <c r="CR32" s="75"/>
      <c r="CS32" s="75"/>
      <c r="CT32" s="75"/>
      <c r="CU32" s="75"/>
      <c r="CV32" s="75"/>
      <c r="CW32" s="75"/>
      <c r="CX32" s="75"/>
      <c r="CY32" s="162" t="s">
        <v>5</v>
      </c>
      <c r="CZ32" s="152" t="s">
        <v>47</v>
      </c>
      <c r="DA32" s="152"/>
      <c r="DB32" s="152"/>
      <c r="DC32" s="152"/>
      <c r="DD32" s="152"/>
      <c r="DE32" s="113"/>
      <c r="DF32" s="53"/>
      <c r="DG32" s="79"/>
    </row>
    <row r="33" spans="1:111" s="65" customFormat="1" ht="6" customHeight="1" x14ac:dyDescent="0.25">
      <c r="A33" s="51"/>
      <c r="B33" s="8"/>
      <c r="C33" s="8"/>
      <c r="D33" s="144"/>
      <c r="E33" s="144"/>
      <c r="F33" s="144"/>
      <c r="G33" s="144"/>
      <c r="H33" s="144"/>
      <c r="I33" s="144"/>
      <c r="J33" s="144"/>
      <c r="K33" s="114"/>
      <c r="L33" s="114"/>
      <c r="M33" s="123"/>
      <c r="N33" s="123"/>
      <c r="O33" s="123"/>
      <c r="P33" s="123"/>
      <c r="Q33" s="75"/>
      <c r="R33" s="75"/>
      <c r="S33" s="75"/>
      <c r="T33" s="75"/>
      <c r="U33" s="75"/>
      <c r="V33" s="75"/>
      <c r="W33" s="75"/>
      <c r="X33" s="75"/>
      <c r="Y33" s="75"/>
      <c r="Z33" s="75"/>
      <c r="AA33" s="75"/>
      <c r="AB33" s="75"/>
      <c r="AC33" s="75"/>
      <c r="AD33" s="75"/>
      <c r="AE33" s="75"/>
      <c r="AF33" s="75"/>
      <c r="AG33" s="75"/>
      <c r="AH33" s="75"/>
      <c r="AI33" s="75"/>
      <c r="AJ33" s="75"/>
      <c r="AK33" s="75"/>
      <c r="AL33" s="75"/>
      <c r="AM33" s="75"/>
      <c r="AN33" s="75"/>
      <c r="AO33" s="75"/>
      <c r="AP33" s="75"/>
      <c r="AQ33" s="75"/>
      <c r="AR33" s="75"/>
      <c r="AS33" s="75"/>
      <c r="AT33" s="75"/>
      <c r="AU33" s="75"/>
      <c r="AV33" s="75"/>
      <c r="AW33" s="75"/>
      <c r="AX33" s="75"/>
      <c r="AY33" s="75"/>
      <c r="AZ33" s="75"/>
      <c r="BA33" s="75"/>
      <c r="BB33" s="75"/>
      <c r="BC33" s="75"/>
      <c r="BD33" s="75"/>
      <c r="BE33" s="75"/>
      <c r="BF33" s="75"/>
      <c r="BG33" s="75"/>
      <c r="BH33" s="75"/>
      <c r="BI33" s="75"/>
      <c r="BJ33" s="75"/>
      <c r="BK33" s="75"/>
      <c r="BL33" s="75"/>
      <c r="BM33" s="75"/>
      <c r="BN33" s="75"/>
      <c r="BO33" s="75"/>
      <c r="BP33" s="75"/>
      <c r="BQ33" s="75"/>
      <c r="BR33" s="75"/>
      <c r="BS33" s="75"/>
      <c r="BT33" s="75"/>
      <c r="BU33" s="75"/>
      <c r="BV33" s="75"/>
      <c r="BW33" s="75"/>
      <c r="BX33" s="75"/>
      <c r="BY33" s="75"/>
      <c r="BZ33" s="75"/>
      <c r="CA33" s="75"/>
      <c r="CB33" s="75"/>
      <c r="CC33" s="75"/>
      <c r="CD33" s="75"/>
      <c r="CE33" s="75"/>
      <c r="CF33" s="75"/>
      <c r="CG33" s="75"/>
      <c r="CH33" s="75"/>
      <c r="CI33" s="75"/>
      <c r="CJ33" s="75"/>
      <c r="CK33" s="75"/>
      <c r="CL33" s="75"/>
      <c r="CM33" s="75"/>
      <c r="CN33" s="75"/>
      <c r="CO33" s="75"/>
      <c r="CP33" s="75"/>
      <c r="CQ33" s="75"/>
      <c r="CR33" s="75"/>
      <c r="CS33" s="75"/>
      <c r="CT33" s="75"/>
      <c r="CU33" s="75"/>
      <c r="CV33" s="75"/>
      <c r="CW33" s="75"/>
      <c r="CX33" s="75"/>
      <c r="CY33" s="162"/>
      <c r="CZ33" s="152"/>
      <c r="DA33" s="152"/>
      <c r="DB33" s="152"/>
      <c r="DC33" s="152"/>
      <c r="DD33" s="152"/>
      <c r="DE33" s="113"/>
      <c r="DF33" s="53"/>
      <c r="DG33" s="79"/>
    </row>
    <row r="34" spans="1:111" s="65" customFormat="1" ht="6" customHeight="1" x14ac:dyDescent="0.25">
      <c r="A34" s="114"/>
      <c r="B34" s="114"/>
      <c r="C34" s="114"/>
      <c r="D34" s="114"/>
      <c r="E34" s="114"/>
      <c r="F34" s="114"/>
      <c r="G34" s="114"/>
      <c r="H34" s="114"/>
      <c r="I34" s="114"/>
      <c r="J34" s="114"/>
      <c r="K34" s="114"/>
      <c r="L34" s="114"/>
      <c r="M34" s="123"/>
      <c r="N34" s="123"/>
      <c r="O34" s="123"/>
      <c r="P34" s="123"/>
      <c r="Q34" s="75"/>
      <c r="R34" s="75"/>
      <c r="S34" s="75"/>
      <c r="T34" s="75"/>
      <c r="U34" s="75"/>
      <c r="V34" s="75"/>
      <c r="W34" s="75"/>
      <c r="X34" s="75"/>
      <c r="Y34" s="75"/>
      <c r="Z34" s="189"/>
      <c r="AA34" s="189"/>
      <c r="AB34" s="189"/>
      <c r="AC34" s="189"/>
      <c r="AD34" s="75"/>
      <c r="AE34" s="75"/>
      <c r="AF34" s="189"/>
      <c r="AG34" s="189"/>
      <c r="AH34" s="189"/>
      <c r="AI34" s="189"/>
      <c r="AJ34" s="75"/>
      <c r="AK34" s="75"/>
      <c r="AL34" s="189"/>
      <c r="AM34" s="189"/>
      <c r="AN34" s="189"/>
      <c r="AO34" s="189"/>
      <c r="AP34" s="75"/>
      <c r="AQ34" s="75"/>
      <c r="AR34" s="189"/>
      <c r="AS34" s="189"/>
      <c r="AT34" s="189"/>
      <c r="AU34" s="189"/>
      <c r="AV34" s="75"/>
      <c r="AW34" s="75"/>
      <c r="AX34" s="189"/>
      <c r="AY34" s="189"/>
      <c r="AZ34" s="189"/>
      <c r="BA34" s="189"/>
      <c r="BB34" s="75"/>
      <c r="BC34" s="75"/>
      <c r="BD34" s="189"/>
      <c r="BE34" s="189"/>
      <c r="BF34" s="189"/>
      <c r="BG34" s="189"/>
      <c r="BH34" s="75"/>
      <c r="BI34" s="75"/>
      <c r="BJ34" s="189"/>
      <c r="BK34" s="189"/>
      <c r="BL34" s="189"/>
      <c r="BM34" s="189"/>
      <c r="BN34" s="75"/>
      <c r="BO34" s="75"/>
      <c r="BP34" s="189"/>
      <c r="BQ34" s="189"/>
      <c r="BR34" s="189"/>
      <c r="BS34" s="189"/>
      <c r="BT34" s="75"/>
      <c r="BU34" s="75"/>
      <c r="BV34" s="189"/>
      <c r="BW34" s="189"/>
      <c r="BX34" s="189"/>
      <c r="BY34" s="189"/>
      <c r="BZ34" s="75"/>
      <c r="CA34" s="75"/>
      <c r="CB34" s="189"/>
      <c r="CC34" s="189"/>
      <c r="CD34" s="189"/>
      <c r="CE34" s="189"/>
      <c r="CF34" s="75"/>
      <c r="CG34" s="75"/>
      <c r="CH34" s="189"/>
      <c r="CI34" s="189"/>
      <c r="CJ34" s="189"/>
      <c r="CK34" s="189"/>
      <c r="CL34" s="75"/>
      <c r="CM34" s="75"/>
      <c r="CN34" s="75"/>
      <c r="CO34" s="75"/>
      <c r="CP34" s="75"/>
      <c r="CQ34" s="75"/>
      <c r="CR34" s="75"/>
      <c r="CS34" s="75"/>
      <c r="CT34" s="75"/>
      <c r="CU34" s="75"/>
      <c r="CV34" s="75"/>
      <c r="CW34" s="75"/>
      <c r="CX34" s="75"/>
      <c r="CY34" s="62"/>
      <c r="CZ34" s="63"/>
      <c r="DA34" s="63"/>
      <c r="DB34" s="63"/>
      <c r="DC34" s="63"/>
      <c r="DD34" s="63"/>
      <c r="DE34" s="64"/>
      <c r="DF34" s="53"/>
      <c r="DG34" s="79"/>
    </row>
    <row r="35" spans="1:111" s="65" customFormat="1" ht="6" customHeight="1" x14ac:dyDescent="0.25">
      <c r="A35" s="114"/>
      <c r="B35" s="114"/>
      <c r="C35" s="114"/>
      <c r="D35" s="114"/>
      <c r="E35" s="114"/>
      <c r="F35" s="114"/>
      <c r="G35" s="114"/>
      <c r="H35" s="114"/>
      <c r="I35" s="114"/>
      <c r="J35" s="114"/>
      <c r="K35" s="114"/>
      <c r="L35" s="114"/>
      <c r="M35" s="123"/>
      <c r="N35" s="123"/>
      <c r="O35" s="123"/>
      <c r="P35" s="123"/>
      <c r="Q35" s="75"/>
      <c r="R35" s="75"/>
      <c r="S35" s="75"/>
      <c r="T35" s="75"/>
      <c r="U35" s="75"/>
      <c r="V35" s="75"/>
      <c r="W35" s="75"/>
      <c r="X35" s="75"/>
      <c r="Y35" s="75"/>
      <c r="Z35" s="189"/>
      <c r="AA35" s="189"/>
      <c r="AB35" s="189"/>
      <c r="AC35" s="189"/>
      <c r="AD35" s="75"/>
      <c r="AE35" s="75"/>
      <c r="AF35" s="189"/>
      <c r="AG35" s="189"/>
      <c r="AH35" s="189"/>
      <c r="AI35" s="189"/>
      <c r="AJ35" s="75"/>
      <c r="AK35" s="75"/>
      <c r="AL35" s="189"/>
      <c r="AM35" s="189"/>
      <c r="AN35" s="189"/>
      <c r="AO35" s="189"/>
      <c r="AP35" s="75"/>
      <c r="AQ35" s="75"/>
      <c r="AR35" s="189"/>
      <c r="AS35" s="189"/>
      <c r="AT35" s="189"/>
      <c r="AU35" s="189"/>
      <c r="AV35" s="75"/>
      <c r="AW35" s="75"/>
      <c r="AX35" s="189"/>
      <c r="AY35" s="189"/>
      <c r="AZ35" s="189"/>
      <c r="BA35" s="189"/>
      <c r="BB35" s="75"/>
      <c r="BC35" s="75"/>
      <c r="BD35" s="189"/>
      <c r="BE35" s="189"/>
      <c r="BF35" s="189"/>
      <c r="BG35" s="189"/>
      <c r="BH35" s="75"/>
      <c r="BI35" s="75"/>
      <c r="BJ35" s="189"/>
      <c r="BK35" s="189"/>
      <c r="BL35" s="189"/>
      <c r="BM35" s="189"/>
      <c r="BN35" s="75"/>
      <c r="BO35" s="75"/>
      <c r="BP35" s="189"/>
      <c r="BQ35" s="189"/>
      <c r="BR35" s="189"/>
      <c r="BS35" s="189"/>
      <c r="BT35" s="75"/>
      <c r="BU35" s="75"/>
      <c r="BV35" s="189"/>
      <c r="BW35" s="189"/>
      <c r="BX35" s="189"/>
      <c r="BY35" s="189"/>
      <c r="BZ35" s="75"/>
      <c r="CA35" s="75"/>
      <c r="CB35" s="189"/>
      <c r="CC35" s="189"/>
      <c r="CD35" s="189"/>
      <c r="CE35" s="189"/>
      <c r="CF35" s="75"/>
      <c r="CG35" s="75"/>
      <c r="CH35" s="189"/>
      <c r="CI35" s="189"/>
      <c r="CJ35" s="189"/>
      <c r="CK35" s="189"/>
      <c r="CL35" s="75"/>
      <c r="CM35" s="75"/>
      <c r="CN35" s="75"/>
      <c r="CO35" s="75"/>
      <c r="CP35" s="75"/>
      <c r="CQ35" s="75"/>
      <c r="CR35" s="75"/>
      <c r="CS35" s="75"/>
      <c r="CT35" s="75"/>
      <c r="CU35" s="75"/>
      <c r="CV35" s="75"/>
      <c r="CW35" s="75"/>
      <c r="CX35" s="75"/>
      <c r="CY35" s="123"/>
      <c r="CZ35" s="114"/>
      <c r="DA35" s="114"/>
      <c r="DB35" s="114"/>
      <c r="DC35" s="114"/>
      <c r="DD35" s="114"/>
      <c r="DE35" s="114"/>
      <c r="DF35" s="53"/>
      <c r="DG35" s="79"/>
    </row>
    <row r="36" spans="1:111" s="65" customFormat="1" ht="6" customHeight="1" x14ac:dyDescent="0.25">
      <c r="A36" s="114"/>
      <c r="B36" s="114"/>
      <c r="C36" s="114"/>
      <c r="D36" s="114"/>
      <c r="E36" s="114"/>
      <c r="F36" s="114"/>
      <c r="G36" s="114"/>
      <c r="H36" s="123"/>
      <c r="I36" s="123"/>
      <c r="J36" s="123"/>
      <c r="K36" s="123"/>
      <c r="L36" s="123"/>
      <c r="M36" s="123"/>
      <c r="N36" s="123"/>
      <c r="O36" s="123"/>
      <c r="P36" s="123"/>
      <c r="Q36" s="75"/>
      <c r="R36" s="75"/>
      <c r="S36" s="75"/>
      <c r="T36" s="75"/>
      <c r="U36" s="75"/>
      <c r="V36" s="75"/>
      <c r="W36" s="75"/>
      <c r="X36" s="75"/>
      <c r="Y36" s="75"/>
      <c r="Z36" s="75"/>
      <c r="AA36" s="75"/>
      <c r="AB36" s="75"/>
      <c r="AC36" s="75"/>
      <c r="AD36" s="75"/>
      <c r="AE36" s="75"/>
      <c r="AF36" s="75"/>
      <c r="AG36" s="75"/>
      <c r="AH36" s="75"/>
      <c r="AI36" s="75"/>
      <c r="AJ36" s="75"/>
      <c r="AK36" s="75"/>
      <c r="AL36" s="75"/>
      <c r="AM36" s="75"/>
      <c r="AN36" s="75"/>
      <c r="AO36" s="75"/>
      <c r="AP36" s="75"/>
      <c r="AQ36" s="75"/>
      <c r="AR36" s="75"/>
      <c r="AS36" s="75"/>
      <c r="AT36" s="75"/>
      <c r="AU36" s="75"/>
      <c r="AV36" s="75"/>
      <c r="AW36" s="75"/>
      <c r="AX36" s="75"/>
      <c r="AY36" s="75"/>
      <c r="AZ36" s="75"/>
      <c r="BA36" s="75"/>
      <c r="BB36" s="75"/>
      <c r="BC36" s="75"/>
      <c r="BD36" s="75"/>
      <c r="BE36" s="75"/>
      <c r="BF36" s="75"/>
      <c r="BG36" s="75"/>
      <c r="BH36" s="75"/>
      <c r="BI36" s="75"/>
      <c r="BJ36" s="75"/>
      <c r="BK36" s="75"/>
      <c r="BL36" s="75"/>
      <c r="BM36" s="75"/>
      <c r="BN36" s="75"/>
      <c r="BO36" s="75"/>
      <c r="BP36" s="75"/>
      <c r="BQ36" s="75"/>
      <c r="BR36" s="75"/>
      <c r="BS36" s="75"/>
      <c r="BT36" s="75"/>
      <c r="BU36" s="75"/>
      <c r="BV36" s="75"/>
      <c r="BW36" s="75"/>
      <c r="BX36" s="75"/>
      <c r="BY36" s="75"/>
      <c r="BZ36" s="75"/>
      <c r="CA36" s="75"/>
      <c r="CB36" s="75"/>
      <c r="CC36" s="75"/>
      <c r="CD36" s="75"/>
      <c r="CE36" s="75"/>
      <c r="CF36" s="75"/>
      <c r="CG36" s="75"/>
      <c r="CH36" s="75"/>
      <c r="CI36" s="75"/>
      <c r="CJ36" s="75"/>
      <c r="CK36" s="75"/>
      <c r="CL36" s="75"/>
      <c r="CM36" s="75"/>
      <c r="CN36" s="75"/>
      <c r="CO36" s="75"/>
      <c r="CP36" s="75"/>
      <c r="CQ36" s="75"/>
      <c r="CR36" s="75"/>
      <c r="CS36" s="75"/>
      <c r="CT36" s="75"/>
      <c r="CU36" s="75"/>
      <c r="CV36" s="75"/>
      <c r="CW36" s="75"/>
      <c r="CX36" s="75"/>
      <c r="CY36" s="123"/>
      <c r="CZ36" s="114"/>
      <c r="DA36" s="114"/>
      <c r="DB36" s="114"/>
      <c r="DC36" s="114"/>
      <c r="DD36" s="114"/>
      <c r="DE36" s="114"/>
      <c r="DF36" s="51"/>
      <c r="DG36" s="79"/>
    </row>
    <row r="37" spans="1:111" s="65" customFormat="1" ht="6" customHeight="1" x14ac:dyDescent="0.25">
      <c r="A37" s="114"/>
      <c r="B37" s="114"/>
      <c r="C37" s="114"/>
      <c r="D37" s="114"/>
      <c r="E37" s="114"/>
      <c r="F37" s="114"/>
      <c r="G37" s="114"/>
      <c r="H37" s="123"/>
      <c r="I37" s="123"/>
      <c r="J37" s="123"/>
      <c r="K37" s="123"/>
      <c r="L37" s="123"/>
      <c r="M37" s="123"/>
      <c r="N37" s="123"/>
      <c r="O37" s="123"/>
      <c r="P37" s="123"/>
      <c r="Q37" s="75"/>
      <c r="R37" s="75"/>
      <c r="S37" s="75"/>
      <c r="T37" s="75"/>
      <c r="U37" s="75"/>
      <c r="V37" s="75"/>
      <c r="W37" s="189"/>
      <c r="X37" s="189"/>
      <c r="Y37" s="189"/>
      <c r="Z37" s="189"/>
      <c r="AA37" s="75"/>
      <c r="AB37" s="75"/>
      <c r="AC37" s="189"/>
      <c r="AD37" s="189"/>
      <c r="AE37" s="189"/>
      <c r="AF37" s="189"/>
      <c r="AG37" s="75"/>
      <c r="AH37" s="75"/>
      <c r="AI37" s="189"/>
      <c r="AJ37" s="189"/>
      <c r="AK37" s="189"/>
      <c r="AL37" s="189"/>
      <c r="AM37" s="75"/>
      <c r="AN37" s="75"/>
      <c r="AO37" s="189"/>
      <c r="AP37" s="189"/>
      <c r="AQ37" s="189"/>
      <c r="AR37" s="189"/>
      <c r="AS37" s="75"/>
      <c r="AT37" s="75"/>
      <c r="AU37" s="189"/>
      <c r="AV37" s="189"/>
      <c r="AW37" s="189"/>
      <c r="AX37" s="189"/>
      <c r="AY37" s="75"/>
      <c r="AZ37" s="75"/>
      <c r="BA37" s="189"/>
      <c r="BB37" s="189"/>
      <c r="BC37" s="189"/>
      <c r="BD37" s="189"/>
      <c r="BE37" s="75"/>
      <c r="BF37" s="75"/>
      <c r="BG37" s="189"/>
      <c r="BH37" s="189"/>
      <c r="BI37" s="189"/>
      <c r="BJ37" s="189"/>
      <c r="BK37" s="75"/>
      <c r="BL37" s="75"/>
      <c r="BM37" s="189"/>
      <c r="BN37" s="189"/>
      <c r="BO37" s="189"/>
      <c r="BP37" s="189"/>
      <c r="BQ37" s="75"/>
      <c r="BR37" s="75"/>
      <c r="BS37" s="189"/>
      <c r="BT37" s="189"/>
      <c r="BU37" s="189"/>
      <c r="BV37" s="189"/>
      <c r="BW37" s="75"/>
      <c r="BX37" s="75"/>
      <c r="BY37" s="189"/>
      <c r="BZ37" s="189"/>
      <c r="CA37" s="189"/>
      <c r="CB37" s="189"/>
      <c r="CC37" s="75"/>
      <c r="CD37" s="75"/>
      <c r="CE37" s="189"/>
      <c r="CF37" s="189"/>
      <c r="CG37" s="189"/>
      <c r="CH37" s="189"/>
      <c r="CI37" s="75"/>
      <c r="CJ37" s="75"/>
      <c r="CK37" s="189"/>
      <c r="CL37" s="189"/>
      <c r="CM37" s="189"/>
      <c r="CN37" s="189"/>
      <c r="CO37" s="75"/>
      <c r="CP37" s="75"/>
      <c r="CQ37" s="75"/>
      <c r="CR37" s="75"/>
      <c r="CS37" s="75"/>
      <c r="CT37" s="75"/>
      <c r="CU37" s="75"/>
      <c r="CV37" s="75"/>
      <c r="CW37" s="75"/>
      <c r="CX37" s="75"/>
      <c r="CY37" s="123"/>
      <c r="CZ37" s="114"/>
      <c r="DA37" s="114"/>
      <c r="DB37" s="114"/>
      <c r="DC37" s="114"/>
      <c r="DD37" s="114"/>
      <c r="DE37" s="114"/>
      <c r="DF37" s="51"/>
      <c r="DG37" s="79"/>
    </row>
    <row r="38" spans="1:111" s="65" customFormat="1" ht="6" customHeight="1" x14ac:dyDescent="0.25">
      <c r="A38" s="114"/>
      <c r="B38" s="114"/>
      <c r="C38" s="114"/>
      <c r="D38" s="114"/>
      <c r="E38" s="114"/>
      <c r="F38" s="114"/>
      <c r="G38" s="114"/>
      <c r="H38" s="123"/>
      <c r="I38" s="123"/>
      <c r="J38" s="123"/>
      <c r="K38" s="123"/>
      <c r="L38" s="123"/>
      <c r="M38" s="123"/>
      <c r="N38" s="123"/>
      <c r="O38" s="123"/>
      <c r="P38" s="75"/>
      <c r="Q38" s="75"/>
      <c r="R38" s="75"/>
      <c r="S38" s="75"/>
      <c r="T38" s="75"/>
      <c r="U38" s="75"/>
      <c r="V38" s="75"/>
      <c r="W38" s="189"/>
      <c r="X38" s="189"/>
      <c r="Y38" s="189"/>
      <c r="Z38" s="189"/>
      <c r="AA38" s="75"/>
      <c r="AB38" s="75"/>
      <c r="AC38" s="189"/>
      <c r="AD38" s="189"/>
      <c r="AE38" s="189"/>
      <c r="AF38" s="189"/>
      <c r="AG38" s="75"/>
      <c r="AH38" s="75"/>
      <c r="AI38" s="189"/>
      <c r="AJ38" s="189"/>
      <c r="AK38" s="189"/>
      <c r="AL38" s="189"/>
      <c r="AM38" s="75"/>
      <c r="AN38" s="75"/>
      <c r="AO38" s="189"/>
      <c r="AP38" s="189"/>
      <c r="AQ38" s="189"/>
      <c r="AR38" s="189"/>
      <c r="AS38" s="75"/>
      <c r="AT38" s="75"/>
      <c r="AU38" s="189"/>
      <c r="AV38" s="189"/>
      <c r="AW38" s="189"/>
      <c r="AX38" s="189"/>
      <c r="AY38" s="75"/>
      <c r="AZ38" s="75"/>
      <c r="BA38" s="189"/>
      <c r="BB38" s="189"/>
      <c r="BC38" s="189"/>
      <c r="BD38" s="189"/>
      <c r="BE38" s="75"/>
      <c r="BF38" s="75"/>
      <c r="BG38" s="189"/>
      <c r="BH38" s="189"/>
      <c r="BI38" s="189"/>
      <c r="BJ38" s="189"/>
      <c r="BK38" s="75"/>
      <c r="BL38" s="75"/>
      <c r="BM38" s="189"/>
      <c r="BN38" s="189"/>
      <c r="BO38" s="189"/>
      <c r="BP38" s="189"/>
      <c r="BQ38" s="75"/>
      <c r="BR38" s="75"/>
      <c r="BS38" s="189"/>
      <c r="BT38" s="189"/>
      <c r="BU38" s="189"/>
      <c r="BV38" s="189"/>
      <c r="BW38" s="75"/>
      <c r="BX38" s="75"/>
      <c r="BY38" s="189"/>
      <c r="BZ38" s="189"/>
      <c r="CA38" s="189"/>
      <c r="CB38" s="189"/>
      <c r="CC38" s="124"/>
      <c r="CD38" s="75"/>
      <c r="CE38" s="189"/>
      <c r="CF38" s="189"/>
      <c r="CG38" s="189"/>
      <c r="CH38" s="189"/>
      <c r="CI38" s="75"/>
      <c r="CJ38" s="75"/>
      <c r="CK38" s="189"/>
      <c r="CL38" s="189"/>
      <c r="CM38" s="189"/>
      <c r="CN38" s="189"/>
      <c r="CO38" s="75"/>
      <c r="CP38" s="75"/>
      <c r="CQ38" s="75"/>
      <c r="CR38" s="75"/>
      <c r="CS38" s="75"/>
      <c r="CT38" s="75"/>
      <c r="CU38" s="75"/>
      <c r="CV38" s="75"/>
      <c r="CW38" s="75"/>
      <c r="CX38" s="75"/>
      <c r="CY38" s="123"/>
      <c r="CZ38" s="114"/>
      <c r="DA38" s="114"/>
      <c r="DB38" s="114"/>
      <c r="DC38" s="114"/>
      <c r="DD38" s="114"/>
      <c r="DE38" s="51"/>
      <c r="DF38" s="51"/>
    </row>
    <row r="39" spans="1:111" s="65" customFormat="1" ht="6" customHeight="1" x14ac:dyDescent="0.25">
      <c r="A39" s="114"/>
      <c r="B39" s="114"/>
      <c r="C39" s="114"/>
      <c r="D39" s="114"/>
      <c r="E39" s="114"/>
      <c r="F39" s="114"/>
      <c r="G39" s="114"/>
      <c r="H39" s="123"/>
      <c r="I39" s="123"/>
      <c r="J39" s="123"/>
      <c r="K39" s="123"/>
      <c r="L39" s="123"/>
      <c r="M39" s="123"/>
      <c r="N39" s="75"/>
      <c r="O39" s="75"/>
      <c r="P39" s="75"/>
      <c r="Q39" s="75"/>
      <c r="R39" s="75"/>
      <c r="S39" s="75"/>
      <c r="T39" s="75"/>
      <c r="U39" s="75"/>
      <c r="V39" s="75"/>
      <c r="W39" s="75"/>
      <c r="X39" s="75"/>
      <c r="Y39" s="75"/>
      <c r="Z39" s="75"/>
      <c r="AA39" s="75"/>
      <c r="AB39" s="75"/>
      <c r="AC39" s="75"/>
      <c r="AD39" s="75"/>
      <c r="AE39" s="75"/>
      <c r="AF39" s="75"/>
      <c r="AG39" s="75"/>
      <c r="AH39" s="75"/>
      <c r="AI39" s="75"/>
      <c r="AJ39" s="75"/>
      <c r="AK39" s="75"/>
      <c r="AL39" s="75"/>
      <c r="AM39" s="75"/>
      <c r="AN39" s="75"/>
      <c r="AO39" s="75"/>
      <c r="AP39" s="75"/>
      <c r="AQ39" s="75"/>
      <c r="AR39" s="75"/>
      <c r="AS39" s="75"/>
      <c r="AT39" s="75"/>
      <c r="AU39" s="75"/>
      <c r="AV39" s="75"/>
      <c r="AW39" s="75"/>
      <c r="AX39" s="75"/>
      <c r="AY39" s="75"/>
      <c r="AZ39" s="75"/>
      <c r="BA39" s="75"/>
      <c r="BB39" s="75"/>
      <c r="BC39" s="75"/>
      <c r="BD39" s="75"/>
      <c r="BE39" s="75"/>
      <c r="BF39" s="75"/>
      <c r="BG39" s="75"/>
      <c r="BH39" s="75"/>
      <c r="BI39" s="75"/>
      <c r="BJ39" s="75"/>
      <c r="BK39" s="75"/>
      <c r="BL39" s="75"/>
      <c r="BM39" s="75"/>
      <c r="BN39" s="75"/>
      <c r="BO39" s="75"/>
      <c r="BP39" s="75"/>
      <c r="BQ39" s="75"/>
      <c r="BR39" s="75"/>
      <c r="BS39" s="75"/>
      <c r="BT39" s="75"/>
      <c r="BU39" s="75"/>
      <c r="BV39" s="75"/>
      <c r="BW39" s="75"/>
      <c r="BX39" s="75"/>
      <c r="BY39" s="75"/>
      <c r="BZ39" s="75"/>
      <c r="CA39" s="75"/>
      <c r="CB39" s="75"/>
      <c r="CC39" s="75"/>
      <c r="CD39" s="75"/>
      <c r="CE39" s="75"/>
      <c r="CF39" s="75"/>
      <c r="CG39" s="75"/>
      <c r="CH39" s="75"/>
      <c r="CI39" s="75"/>
      <c r="CJ39" s="75"/>
      <c r="CK39" s="75"/>
      <c r="CL39" s="75"/>
      <c r="CM39" s="75"/>
      <c r="CN39" s="75"/>
      <c r="CO39" s="75"/>
      <c r="CP39" s="75"/>
      <c r="CQ39" s="75"/>
      <c r="CR39" s="75"/>
      <c r="CS39" s="75"/>
      <c r="CT39" s="75"/>
      <c r="CU39" s="75"/>
      <c r="CV39" s="75"/>
      <c r="CW39" s="75"/>
      <c r="CX39" s="75"/>
      <c r="CY39" s="123"/>
      <c r="CZ39" s="114"/>
      <c r="DA39" s="114"/>
      <c r="DB39" s="114"/>
      <c r="DC39" s="114"/>
      <c r="DD39" s="114"/>
      <c r="DE39" s="51"/>
      <c r="DF39" s="51"/>
    </row>
    <row r="40" spans="1:111" s="65" customFormat="1" ht="6" customHeight="1" x14ac:dyDescent="0.25">
      <c r="A40" s="114"/>
      <c r="B40" s="114"/>
      <c r="C40" s="114"/>
      <c r="D40" s="114"/>
      <c r="E40" s="114"/>
      <c r="F40" s="114"/>
      <c r="G40" s="114"/>
      <c r="H40" s="123"/>
      <c r="I40" s="123"/>
      <c r="J40" s="123"/>
      <c r="K40" s="123"/>
      <c r="L40" s="123"/>
      <c r="M40" s="123"/>
      <c r="N40" s="75"/>
      <c r="O40" s="75"/>
      <c r="P40" s="75"/>
      <c r="Q40" s="75"/>
      <c r="R40" s="75"/>
      <c r="S40" s="75"/>
      <c r="T40" s="189"/>
      <c r="U40" s="189"/>
      <c r="V40" s="189"/>
      <c r="W40" s="189"/>
      <c r="X40" s="75"/>
      <c r="Y40" s="75"/>
      <c r="Z40" s="189"/>
      <c r="AA40" s="189"/>
      <c r="AB40" s="189"/>
      <c r="AC40" s="189"/>
      <c r="AD40" s="75"/>
      <c r="AE40" s="75"/>
      <c r="AF40" s="189"/>
      <c r="AG40" s="189"/>
      <c r="AH40" s="189"/>
      <c r="AI40" s="189"/>
      <c r="AJ40" s="75"/>
      <c r="AK40" s="75"/>
      <c r="AL40" s="189"/>
      <c r="AM40" s="189"/>
      <c r="AN40" s="189"/>
      <c r="AO40" s="189"/>
      <c r="AP40" s="75"/>
      <c r="AQ40" s="75"/>
      <c r="AR40" s="189"/>
      <c r="AS40" s="189"/>
      <c r="AT40" s="189"/>
      <c r="AU40" s="189"/>
      <c r="AV40" s="75"/>
      <c r="AW40" s="75"/>
      <c r="AX40" s="189"/>
      <c r="AY40" s="189"/>
      <c r="AZ40" s="189"/>
      <c r="BA40" s="189"/>
      <c r="BB40" s="75"/>
      <c r="BC40" s="75"/>
      <c r="BD40" s="189"/>
      <c r="BE40" s="189"/>
      <c r="BF40" s="189"/>
      <c r="BG40" s="189"/>
      <c r="BH40" s="75"/>
      <c r="BI40" s="75"/>
      <c r="BJ40" s="189"/>
      <c r="BK40" s="189"/>
      <c r="BL40" s="189"/>
      <c r="BM40" s="189"/>
      <c r="BN40" s="75"/>
      <c r="BO40" s="75"/>
      <c r="BP40" s="189"/>
      <c r="BQ40" s="189"/>
      <c r="BR40" s="189"/>
      <c r="BS40" s="189"/>
      <c r="BT40" s="75"/>
      <c r="BU40" s="75"/>
      <c r="BV40" s="189"/>
      <c r="BW40" s="189"/>
      <c r="BX40" s="189"/>
      <c r="BY40" s="189"/>
      <c r="BZ40" s="75"/>
      <c r="CA40" s="75"/>
      <c r="CB40" s="189"/>
      <c r="CC40" s="189"/>
      <c r="CD40" s="189"/>
      <c r="CE40" s="189"/>
      <c r="CF40" s="75"/>
      <c r="CG40" s="75"/>
      <c r="CH40" s="189"/>
      <c r="CI40" s="189"/>
      <c r="CJ40" s="189"/>
      <c r="CK40" s="189"/>
      <c r="CL40" s="75"/>
      <c r="CM40" s="75"/>
      <c r="CN40" s="189"/>
      <c r="CO40" s="189"/>
      <c r="CP40" s="189"/>
      <c r="CQ40" s="189"/>
      <c r="CR40" s="75"/>
      <c r="CS40" s="75"/>
      <c r="CT40" s="75"/>
      <c r="CU40" s="75"/>
      <c r="CV40" s="75"/>
      <c r="CW40" s="75"/>
      <c r="CX40" s="75"/>
      <c r="CY40" s="53"/>
      <c r="CZ40" s="51"/>
      <c r="DA40" s="51"/>
      <c r="DB40" s="51"/>
      <c r="DC40" s="51"/>
      <c r="DD40" s="51"/>
      <c r="DE40" s="51"/>
      <c r="DF40" s="51"/>
    </row>
    <row r="41" spans="1:111" s="65" customFormat="1" ht="6" customHeight="1" x14ac:dyDescent="0.25">
      <c r="A41" s="51"/>
      <c r="B41" s="114"/>
      <c r="C41" s="114"/>
      <c r="D41" s="114"/>
      <c r="E41" s="114"/>
      <c r="F41" s="114"/>
      <c r="G41" s="114"/>
      <c r="H41" s="123"/>
      <c r="I41" s="123"/>
      <c r="J41" s="123"/>
      <c r="K41" s="123"/>
      <c r="L41" s="123"/>
      <c r="M41" s="123"/>
      <c r="N41" s="75"/>
      <c r="O41" s="75"/>
      <c r="P41" s="75"/>
      <c r="Q41" s="75"/>
      <c r="R41" s="75"/>
      <c r="S41" s="75"/>
      <c r="T41" s="189"/>
      <c r="U41" s="189"/>
      <c r="V41" s="189"/>
      <c r="W41" s="189"/>
      <c r="X41" s="75"/>
      <c r="Y41" s="75"/>
      <c r="Z41" s="189"/>
      <c r="AA41" s="189"/>
      <c r="AB41" s="189"/>
      <c r="AC41" s="189"/>
      <c r="AD41" s="75"/>
      <c r="AE41" s="75"/>
      <c r="AF41" s="189"/>
      <c r="AG41" s="189"/>
      <c r="AH41" s="189"/>
      <c r="AI41" s="189"/>
      <c r="AJ41" s="75"/>
      <c r="AK41" s="75"/>
      <c r="AL41" s="189"/>
      <c r="AM41" s="189"/>
      <c r="AN41" s="189"/>
      <c r="AO41" s="189"/>
      <c r="AP41" s="75"/>
      <c r="AQ41" s="75"/>
      <c r="AR41" s="189"/>
      <c r="AS41" s="189"/>
      <c r="AT41" s="189"/>
      <c r="AU41" s="189"/>
      <c r="AV41" s="75"/>
      <c r="AW41" s="75"/>
      <c r="AX41" s="189"/>
      <c r="AY41" s="189"/>
      <c r="AZ41" s="189"/>
      <c r="BA41" s="189"/>
      <c r="BB41" s="75"/>
      <c r="BC41" s="75"/>
      <c r="BD41" s="189"/>
      <c r="BE41" s="189"/>
      <c r="BF41" s="189"/>
      <c r="BG41" s="189"/>
      <c r="BH41" s="75"/>
      <c r="BI41" s="75"/>
      <c r="BJ41" s="189"/>
      <c r="BK41" s="189"/>
      <c r="BL41" s="189"/>
      <c r="BM41" s="189"/>
      <c r="BN41" s="75"/>
      <c r="BO41" s="75"/>
      <c r="BP41" s="189"/>
      <c r="BQ41" s="189"/>
      <c r="BR41" s="189"/>
      <c r="BS41" s="189"/>
      <c r="BT41" s="75"/>
      <c r="BU41" s="75"/>
      <c r="BV41" s="189"/>
      <c r="BW41" s="189"/>
      <c r="BX41" s="189"/>
      <c r="BY41" s="189"/>
      <c r="BZ41" s="75"/>
      <c r="CA41" s="75"/>
      <c r="CB41" s="189"/>
      <c r="CC41" s="189"/>
      <c r="CD41" s="189"/>
      <c r="CE41" s="189"/>
      <c r="CF41" s="75"/>
      <c r="CG41" s="75"/>
      <c r="CH41" s="189"/>
      <c r="CI41" s="189"/>
      <c r="CJ41" s="189"/>
      <c r="CK41" s="189"/>
      <c r="CL41" s="75"/>
      <c r="CM41" s="75"/>
      <c r="CN41" s="189"/>
      <c r="CO41" s="189"/>
      <c r="CP41" s="189"/>
      <c r="CQ41" s="189"/>
      <c r="CR41" s="75"/>
      <c r="CS41" s="75"/>
      <c r="CT41" s="75"/>
      <c r="CU41" s="75"/>
      <c r="CV41" s="75"/>
      <c r="CW41" s="75"/>
      <c r="CX41" s="75"/>
      <c r="CY41" s="53"/>
      <c r="CZ41" s="51"/>
      <c r="DA41" s="51"/>
      <c r="DB41" s="51"/>
      <c r="DC41" s="51"/>
      <c r="DD41" s="51"/>
      <c r="DE41" s="51"/>
      <c r="DF41" s="51"/>
    </row>
    <row r="42" spans="1:111" s="65" customFormat="1" ht="6" customHeight="1" x14ac:dyDescent="0.25">
      <c r="A42" s="51"/>
      <c r="B42" s="114"/>
      <c r="C42" s="114"/>
      <c r="D42" s="114"/>
      <c r="E42" s="114"/>
      <c r="F42" s="114"/>
      <c r="G42" s="114"/>
      <c r="H42" s="123"/>
      <c r="I42" s="123"/>
      <c r="J42" s="123"/>
      <c r="K42" s="123"/>
      <c r="L42" s="123"/>
      <c r="M42" s="123"/>
      <c r="N42" s="75"/>
      <c r="O42" s="75"/>
      <c r="P42" s="75"/>
      <c r="Q42" s="75"/>
      <c r="R42" s="75"/>
      <c r="S42" s="75"/>
      <c r="T42" s="75"/>
      <c r="U42" s="75"/>
      <c r="V42" s="75"/>
      <c r="W42" s="75"/>
      <c r="X42" s="75"/>
      <c r="Y42" s="75"/>
      <c r="Z42" s="75"/>
      <c r="AA42" s="75"/>
      <c r="AB42" s="75"/>
      <c r="AC42" s="75"/>
      <c r="AD42" s="75"/>
      <c r="AE42" s="75"/>
      <c r="AF42" s="75"/>
      <c r="AG42" s="75"/>
      <c r="AH42" s="75"/>
      <c r="AI42" s="75"/>
      <c r="AJ42" s="75"/>
      <c r="AK42" s="75"/>
      <c r="AL42" s="75"/>
      <c r="AM42" s="75"/>
      <c r="AN42" s="75"/>
      <c r="AO42" s="75"/>
      <c r="AP42" s="75"/>
      <c r="AQ42" s="75"/>
      <c r="AR42" s="75"/>
      <c r="AS42" s="75"/>
      <c r="AT42" s="75"/>
      <c r="AU42" s="75"/>
      <c r="AV42" s="75"/>
      <c r="AW42" s="75"/>
      <c r="AX42" s="75"/>
      <c r="AY42" s="75"/>
      <c r="AZ42" s="75"/>
      <c r="BA42" s="75"/>
      <c r="BB42" s="75"/>
      <c r="BC42" s="75"/>
      <c r="BD42" s="75"/>
      <c r="BE42" s="75"/>
      <c r="BF42" s="75"/>
      <c r="BG42" s="75"/>
      <c r="BH42" s="75"/>
      <c r="BI42" s="75"/>
      <c r="BJ42" s="75"/>
      <c r="BK42" s="75"/>
      <c r="BL42" s="75"/>
      <c r="BM42" s="75"/>
      <c r="BN42" s="75"/>
      <c r="BO42" s="75"/>
      <c r="BP42" s="75"/>
      <c r="BQ42" s="75"/>
      <c r="BR42" s="75"/>
      <c r="BS42" s="75"/>
      <c r="BT42" s="75"/>
      <c r="BU42" s="75"/>
      <c r="BV42" s="75"/>
      <c r="BW42" s="75"/>
      <c r="BX42" s="75"/>
      <c r="BY42" s="75"/>
      <c r="BZ42" s="75"/>
      <c r="CA42" s="75"/>
      <c r="CB42" s="75"/>
      <c r="CC42" s="75"/>
      <c r="CD42" s="75"/>
      <c r="CE42" s="75"/>
      <c r="CF42" s="75"/>
      <c r="CG42" s="75"/>
      <c r="CH42" s="75"/>
      <c r="CI42" s="75"/>
      <c r="CJ42" s="75"/>
      <c r="CK42" s="75"/>
      <c r="CL42" s="75"/>
      <c r="CM42" s="75"/>
      <c r="CN42" s="75"/>
      <c r="CO42" s="75"/>
      <c r="CP42" s="75"/>
      <c r="CQ42" s="75"/>
      <c r="CR42" s="75"/>
      <c r="CS42" s="75"/>
      <c r="CT42" s="75"/>
      <c r="CU42" s="75"/>
      <c r="CV42" s="75"/>
      <c r="CW42" s="75"/>
      <c r="CX42" s="75"/>
      <c r="CY42" s="53"/>
      <c r="CZ42" s="51"/>
      <c r="DA42" s="51"/>
      <c r="DB42" s="51"/>
      <c r="DC42" s="51"/>
      <c r="DD42" s="51"/>
      <c r="DE42" s="51"/>
      <c r="DF42" s="51"/>
    </row>
    <row r="43" spans="1:111" s="65" customFormat="1" ht="6" customHeight="1" x14ac:dyDescent="0.25">
      <c r="A43" s="51"/>
      <c r="B43" s="51"/>
      <c r="C43" s="51"/>
      <c r="D43" s="52"/>
      <c r="E43" s="114"/>
      <c r="F43" s="114"/>
      <c r="G43" s="114"/>
      <c r="H43" s="123"/>
      <c r="I43" s="123"/>
      <c r="J43" s="123"/>
      <c r="K43" s="123"/>
      <c r="L43" s="123"/>
      <c r="M43" s="123"/>
      <c r="N43" s="75"/>
      <c r="O43" s="75"/>
      <c r="P43" s="75"/>
      <c r="Q43" s="189"/>
      <c r="R43" s="189"/>
      <c r="S43" s="189"/>
      <c r="T43" s="189"/>
      <c r="U43" s="75"/>
      <c r="V43" s="75"/>
      <c r="W43" s="189"/>
      <c r="X43" s="189"/>
      <c r="Y43" s="189"/>
      <c r="Z43" s="189"/>
      <c r="AA43" s="75"/>
      <c r="AB43" s="75"/>
      <c r="AC43" s="189"/>
      <c r="AD43" s="189"/>
      <c r="AE43" s="189"/>
      <c r="AF43" s="189"/>
      <c r="AG43" s="75"/>
      <c r="AH43" s="75"/>
      <c r="AI43" s="189"/>
      <c r="AJ43" s="189"/>
      <c r="AK43" s="189"/>
      <c r="AL43" s="189"/>
      <c r="AM43" s="75"/>
      <c r="AN43" s="75"/>
      <c r="AO43" s="189"/>
      <c r="AP43" s="189"/>
      <c r="AQ43" s="189"/>
      <c r="AR43" s="189"/>
      <c r="AS43" s="75"/>
      <c r="AT43" s="75"/>
      <c r="AU43" s="189"/>
      <c r="AV43" s="189"/>
      <c r="AW43" s="189"/>
      <c r="AX43" s="189"/>
      <c r="AY43" s="75"/>
      <c r="AZ43" s="75"/>
      <c r="BA43" s="189"/>
      <c r="BB43" s="189"/>
      <c r="BC43" s="189"/>
      <c r="BD43" s="189"/>
      <c r="BE43" s="75"/>
      <c r="BF43" s="75"/>
      <c r="BG43" s="189"/>
      <c r="BH43" s="189"/>
      <c r="BI43" s="189"/>
      <c r="BJ43" s="189"/>
      <c r="BK43" s="75"/>
      <c r="BL43" s="75"/>
      <c r="BM43" s="189"/>
      <c r="BN43" s="189"/>
      <c r="BO43" s="189"/>
      <c r="BP43" s="189"/>
      <c r="BQ43" s="75"/>
      <c r="BR43" s="75"/>
      <c r="BS43" s="189"/>
      <c r="BT43" s="189"/>
      <c r="BU43" s="189"/>
      <c r="BV43" s="189"/>
      <c r="BW43" s="75"/>
      <c r="BX43" s="75"/>
      <c r="BY43" s="189"/>
      <c r="BZ43" s="189"/>
      <c r="CA43" s="189"/>
      <c r="CB43" s="189"/>
      <c r="CC43" s="75"/>
      <c r="CD43" s="75"/>
      <c r="CE43" s="189"/>
      <c r="CF43" s="189"/>
      <c r="CG43" s="189"/>
      <c r="CH43" s="189"/>
      <c r="CI43" s="75"/>
      <c r="CJ43" s="75"/>
      <c r="CK43" s="189"/>
      <c r="CL43" s="189"/>
      <c r="CM43" s="189"/>
      <c r="CN43" s="189"/>
      <c r="CO43" s="75"/>
      <c r="CP43" s="75"/>
      <c r="CQ43" s="189"/>
      <c r="CR43" s="189"/>
      <c r="CS43" s="189"/>
      <c r="CT43" s="189"/>
      <c r="CU43" s="75"/>
      <c r="CV43" s="75"/>
      <c r="CW43" s="75"/>
      <c r="CX43" s="75"/>
      <c r="CY43" s="53"/>
      <c r="CZ43" s="51"/>
      <c r="DA43" s="51"/>
      <c r="DB43" s="51"/>
      <c r="DC43" s="51"/>
      <c r="DD43" s="51"/>
      <c r="DE43" s="51"/>
      <c r="DF43" s="51"/>
    </row>
    <row r="44" spans="1:111" s="65" customFormat="1" ht="6" customHeight="1" x14ac:dyDescent="0.25">
      <c r="A44" s="51"/>
      <c r="B44" s="51"/>
      <c r="C44" s="51"/>
      <c r="D44" s="52"/>
      <c r="E44" s="111"/>
      <c r="F44" s="51"/>
      <c r="G44" s="51"/>
      <c r="H44" s="53"/>
      <c r="I44" s="53"/>
      <c r="J44" s="53"/>
      <c r="K44" s="53"/>
      <c r="L44" s="53"/>
      <c r="M44" s="75"/>
      <c r="N44" s="75"/>
      <c r="O44" s="75"/>
      <c r="P44" s="75"/>
      <c r="Q44" s="189"/>
      <c r="R44" s="189"/>
      <c r="S44" s="189"/>
      <c r="T44" s="189"/>
      <c r="U44" s="75"/>
      <c r="V44" s="75"/>
      <c r="W44" s="189"/>
      <c r="X44" s="189"/>
      <c r="Y44" s="189"/>
      <c r="Z44" s="189"/>
      <c r="AA44" s="75"/>
      <c r="AB44" s="75"/>
      <c r="AC44" s="189"/>
      <c r="AD44" s="189"/>
      <c r="AE44" s="189"/>
      <c r="AF44" s="189"/>
      <c r="AG44" s="75"/>
      <c r="AH44" s="75"/>
      <c r="AI44" s="189"/>
      <c r="AJ44" s="189"/>
      <c r="AK44" s="189"/>
      <c r="AL44" s="189"/>
      <c r="AM44" s="75"/>
      <c r="AN44" s="75"/>
      <c r="AO44" s="189"/>
      <c r="AP44" s="189"/>
      <c r="AQ44" s="189"/>
      <c r="AR44" s="189"/>
      <c r="AS44" s="75"/>
      <c r="AT44" s="75"/>
      <c r="AU44" s="189"/>
      <c r="AV44" s="189"/>
      <c r="AW44" s="189"/>
      <c r="AX44" s="189"/>
      <c r="AY44" s="75"/>
      <c r="AZ44" s="75"/>
      <c r="BA44" s="189"/>
      <c r="BB44" s="189"/>
      <c r="BC44" s="189"/>
      <c r="BD44" s="189"/>
      <c r="BE44" s="75"/>
      <c r="BF44" s="75"/>
      <c r="BG44" s="189"/>
      <c r="BH44" s="189"/>
      <c r="BI44" s="189"/>
      <c r="BJ44" s="189"/>
      <c r="BK44" s="75"/>
      <c r="BL44" s="75"/>
      <c r="BM44" s="189"/>
      <c r="BN44" s="189"/>
      <c r="BO44" s="189"/>
      <c r="BP44" s="189"/>
      <c r="BQ44" s="75"/>
      <c r="BR44" s="75"/>
      <c r="BS44" s="189"/>
      <c r="BT44" s="189"/>
      <c r="BU44" s="189"/>
      <c r="BV44" s="189"/>
      <c r="BW44" s="75"/>
      <c r="BX44" s="75"/>
      <c r="BY44" s="189"/>
      <c r="BZ44" s="189"/>
      <c r="CA44" s="189"/>
      <c r="CB44" s="189"/>
      <c r="CC44" s="75"/>
      <c r="CD44" s="75"/>
      <c r="CE44" s="189"/>
      <c r="CF44" s="189"/>
      <c r="CG44" s="189"/>
      <c r="CH44" s="189"/>
      <c r="CI44" s="75"/>
      <c r="CJ44" s="75"/>
      <c r="CK44" s="189"/>
      <c r="CL44" s="189"/>
      <c r="CM44" s="189"/>
      <c r="CN44" s="189"/>
      <c r="CO44" s="75"/>
      <c r="CP44" s="75"/>
      <c r="CQ44" s="189"/>
      <c r="CR44" s="189"/>
      <c r="CS44" s="189"/>
      <c r="CT44" s="189"/>
      <c r="CU44" s="75"/>
      <c r="CV44" s="75"/>
      <c r="CW44" s="75"/>
      <c r="CX44" s="75"/>
      <c r="CY44" s="53"/>
      <c r="CZ44" s="51"/>
      <c r="DA44" s="51"/>
      <c r="DB44" s="51"/>
      <c r="DC44" s="51"/>
      <c r="DD44" s="51"/>
      <c r="DE44" s="51"/>
      <c r="DF44" s="51"/>
    </row>
    <row r="45" spans="1:111" s="65" customFormat="1" ht="6" customHeight="1" x14ac:dyDescent="0.25">
      <c r="A45" s="51"/>
      <c r="B45" s="51"/>
      <c r="C45" s="51"/>
      <c r="D45" s="52"/>
      <c r="E45" s="111"/>
      <c r="F45" s="51"/>
      <c r="G45" s="51"/>
      <c r="H45" s="53"/>
      <c r="I45" s="53"/>
      <c r="J45" s="53"/>
      <c r="K45" s="53"/>
      <c r="L45" s="53"/>
      <c r="M45" s="75"/>
      <c r="N45" s="75"/>
      <c r="O45" s="75"/>
      <c r="P45" s="75"/>
      <c r="Q45" s="75"/>
      <c r="R45" s="75"/>
      <c r="S45" s="75"/>
      <c r="T45" s="75"/>
      <c r="U45" s="75"/>
      <c r="V45" s="75"/>
      <c r="W45" s="75"/>
      <c r="X45" s="75"/>
      <c r="Y45" s="75"/>
      <c r="Z45" s="75"/>
      <c r="AA45" s="75"/>
      <c r="AB45" s="75"/>
      <c r="AC45" s="75"/>
      <c r="AD45" s="75"/>
      <c r="AE45" s="75"/>
      <c r="AF45" s="75"/>
      <c r="AG45" s="75"/>
      <c r="AH45" s="75"/>
      <c r="AI45" s="75"/>
      <c r="AJ45" s="75"/>
      <c r="AK45" s="75"/>
      <c r="AL45" s="75"/>
      <c r="AM45" s="75"/>
      <c r="AN45" s="75"/>
      <c r="AO45" s="75"/>
      <c r="AP45" s="75"/>
      <c r="AQ45" s="75"/>
      <c r="AR45" s="75"/>
      <c r="AS45" s="75"/>
      <c r="AT45" s="75"/>
      <c r="AU45" s="75"/>
      <c r="AV45" s="75"/>
      <c r="AW45" s="75"/>
      <c r="AX45" s="75"/>
      <c r="AY45" s="75"/>
      <c r="AZ45" s="75"/>
      <c r="BA45" s="75"/>
      <c r="BB45" s="75"/>
      <c r="BC45" s="75"/>
      <c r="BD45" s="75"/>
      <c r="BE45" s="75"/>
      <c r="BF45" s="75"/>
      <c r="BG45" s="75"/>
      <c r="BH45" s="75"/>
      <c r="BI45" s="75"/>
      <c r="BJ45" s="75"/>
      <c r="BK45" s="75"/>
      <c r="BL45" s="75"/>
      <c r="BM45" s="75"/>
      <c r="BN45" s="75"/>
      <c r="BO45" s="75"/>
      <c r="BP45" s="75"/>
      <c r="BQ45" s="75"/>
      <c r="BR45" s="75"/>
      <c r="BS45" s="75"/>
      <c r="BT45" s="75"/>
      <c r="BU45" s="75"/>
      <c r="BV45" s="75"/>
      <c r="BW45" s="75"/>
      <c r="BX45" s="75"/>
      <c r="BY45" s="75"/>
      <c r="BZ45" s="75"/>
      <c r="CA45" s="75"/>
      <c r="CB45" s="75"/>
      <c r="CC45" s="75"/>
      <c r="CD45" s="75"/>
      <c r="CE45" s="75"/>
      <c r="CF45" s="75"/>
      <c r="CG45" s="75"/>
      <c r="CH45" s="75"/>
      <c r="CI45" s="75"/>
      <c r="CJ45" s="75"/>
      <c r="CK45" s="75"/>
      <c r="CL45" s="75"/>
      <c r="CM45" s="75"/>
      <c r="CN45" s="75"/>
      <c r="CO45" s="75"/>
      <c r="CP45" s="75"/>
      <c r="CQ45" s="75"/>
      <c r="CR45" s="75"/>
      <c r="CS45" s="75"/>
      <c r="CT45" s="75"/>
      <c r="CU45" s="75"/>
      <c r="CV45" s="75"/>
      <c r="CW45" s="75"/>
      <c r="CX45" s="75"/>
      <c r="CY45" s="53"/>
      <c r="CZ45" s="51"/>
      <c r="DA45" s="51"/>
      <c r="DB45" s="51"/>
      <c r="DC45" s="51"/>
      <c r="DD45" s="51"/>
      <c r="DE45" s="51"/>
      <c r="DF45" s="51"/>
    </row>
    <row r="46" spans="1:111" s="65" customFormat="1" ht="6" customHeight="1" x14ac:dyDescent="0.25">
      <c r="A46" s="51"/>
      <c r="B46" s="51"/>
      <c r="C46" s="51"/>
      <c r="D46" s="52"/>
      <c r="E46" s="111"/>
      <c r="F46" s="51"/>
      <c r="G46" s="51"/>
      <c r="H46" s="51"/>
      <c r="I46" s="51"/>
      <c r="J46" s="51"/>
      <c r="K46" s="51"/>
      <c r="L46" s="51"/>
      <c r="M46" s="75"/>
      <c r="N46" s="125"/>
      <c r="O46" s="125"/>
      <c r="P46" s="125"/>
      <c r="Q46" s="125"/>
      <c r="R46" s="75"/>
      <c r="S46" s="75"/>
      <c r="T46" s="125"/>
      <c r="U46" s="125"/>
      <c r="V46" s="125"/>
      <c r="W46" s="125"/>
      <c r="X46" s="75"/>
      <c r="Y46" s="75"/>
      <c r="Z46" s="125"/>
      <c r="AA46" s="125"/>
      <c r="AB46" s="125"/>
      <c r="AC46" s="125"/>
      <c r="AD46" s="75"/>
      <c r="AE46" s="75"/>
      <c r="AF46" s="125"/>
      <c r="AG46" s="125"/>
      <c r="AH46" s="125"/>
      <c r="AI46" s="125"/>
      <c r="AJ46" s="75"/>
      <c r="AK46" s="75"/>
      <c r="AL46" s="125"/>
      <c r="AM46" s="125"/>
      <c r="AN46" s="125"/>
      <c r="AO46" s="125"/>
      <c r="AP46" s="75"/>
      <c r="AQ46" s="75"/>
      <c r="AR46" s="125"/>
      <c r="AS46" s="125"/>
      <c r="AT46" s="125"/>
      <c r="AU46" s="125"/>
      <c r="AV46" s="75"/>
      <c r="AW46" s="75"/>
      <c r="AX46" s="125"/>
      <c r="AY46" s="125"/>
      <c r="AZ46" s="125"/>
      <c r="BA46" s="125"/>
      <c r="BB46" s="75"/>
      <c r="BC46" s="75"/>
      <c r="BD46" s="125"/>
      <c r="BE46" s="125"/>
      <c r="BF46" s="125"/>
      <c r="BG46" s="125"/>
      <c r="BH46" s="75"/>
      <c r="BI46" s="75"/>
      <c r="BJ46" s="125"/>
      <c r="BK46" s="125"/>
      <c r="BL46" s="125"/>
      <c r="BM46" s="125"/>
      <c r="BN46" s="75"/>
      <c r="BO46" s="75"/>
      <c r="BP46" s="125"/>
      <c r="BQ46" s="125"/>
      <c r="BR46" s="125"/>
      <c r="BS46" s="125"/>
      <c r="BT46" s="75"/>
      <c r="BU46" s="75"/>
      <c r="BV46" s="125"/>
      <c r="BW46" s="125"/>
      <c r="BX46" s="125"/>
      <c r="BY46" s="125"/>
      <c r="BZ46" s="75"/>
      <c r="CA46" s="75"/>
      <c r="CB46" s="125"/>
      <c r="CC46" s="125"/>
      <c r="CD46" s="125"/>
      <c r="CE46" s="125"/>
      <c r="CF46" s="75"/>
      <c r="CG46" s="75"/>
      <c r="CH46" s="125"/>
      <c r="CI46" s="125"/>
      <c r="CJ46" s="125"/>
      <c r="CK46" s="125"/>
      <c r="CL46" s="75"/>
      <c r="CM46" s="75"/>
      <c r="CN46" s="125"/>
      <c r="CO46" s="125"/>
      <c r="CP46" s="125"/>
      <c r="CQ46" s="125"/>
      <c r="CR46" s="75"/>
      <c r="CS46" s="75"/>
      <c r="CT46" s="125"/>
      <c r="CU46" s="125"/>
      <c r="CV46" s="125"/>
      <c r="CW46" s="125"/>
      <c r="CX46" s="75"/>
      <c r="CY46" s="53"/>
      <c r="CZ46" s="51"/>
      <c r="DA46" s="51"/>
      <c r="DB46" s="51"/>
      <c r="DC46" s="51"/>
      <c r="DD46" s="51"/>
      <c r="DE46" s="51"/>
      <c r="DF46" s="51"/>
    </row>
    <row r="47" spans="1:111" s="65" customFormat="1" ht="10.5" x14ac:dyDescent="0.2">
      <c r="A47" s="51"/>
      <c r="B47" s="47"/>
      <c r="C47" s="47"/>
      <c r="D47" s="48"/>
      <c r="E47" s="49"/>
      <c r="F47" s="190" t="s">
        <v>25</v>
      </c>
      <c r="G47" s="242"/>
      <c r="H47" s="242"/>
      <c r="I47" s="242"/>
      <c r="J47" s="242"/>
      <c r="K47" s="242"/>
      <c r="L47" s="191"/>
      <c r="M47" s="192">
        <v>1</v>
      </c>
      <c r="N47" s="193"/>
      <c r="O47" s="193"/>
      <c r="P47" s="193"/>
      <c r="Q47" s="193"/>
      <c r="R47" s="193"/>
      <c r="S47" s="192">
        <v>2</v>
      </c>
      <c r="T47" s="193"/>
      <c r="U47" s="193"/>
      <c r="V47" s="193"/>
      <c r="W47" s="193"/>
      <c r="X47" s="193"/>
      <c r="Y47" s="192">
        <v>3</v>
      </c>
      <c r="Z47" s="193"/>
      <c r="AA47" s="193"/>
      <c r="AB47" s="193"/>
      <c r="AC47" s="193"/>
      <c r="AD47" s="193"/>
      <c r="AE47" s="192">
        <v>4</v>
      </c>
      <c r="AF47" s="193"/>
      <c r="AG47" s="193"/>
      <c r="AH47" s="193"/>
      <c r="AI47" s="193"/>
      <c r="AJ47" s="193"/>
      <c r="AK47" s="192">
        <v>5</v>
      </c>
      <c r="AL47" s="193"/>
      <c r="AM47" s="193"/>
      <c r="AN47" s="193"/>
      <c r="AO47" s="193"/>
      <c r="AP47" s="193"/>
      <c r="AQ47" s="192">
        <v>6</v>
      </c>
      <c r="AR47" s="193"/>
      <c r="AS47" s="193"/>
      <c r="AT47" s="193"/>
      <c r="AU47" s="193"/>
      <c r="AV47" s="193"/>
      <c r="AW47" s="192">
        <v>7</v>
      </c>
      <c r="AX47" s="193"/>
      <c r="AY47" s="193"/>
      <c r="AZ47" s="193"/>
      <c r="BA47" s="193"/>
      <c r="BB47" s="193"/>
      <c r="BC47" s="192">
        <v>8</v>
      </c>
      <c r="BD47" s="193"/>
      <c r="BE47" s="193"/>
      <c r="BF47" s="193"/>
      <c r="BG47" s="193"/>
      <c r="BH47" s="193"/>
      <c r="BI47" s="192">
        <v>9</v>
      </c>
      <c r="BJ47" s="193"/>
      <c r="BK47" s="193"/>
      <c r="BL47" s="193"/>
      <c r="BM47" s="193"/>
      <c r="BN47" s="193"/>
      <c r="BO47" s="192">
        <v>10</v>
      </c>
      <c r="BP47" s="193"/>
      <c r="BQ47" s="193"/>
      <c r="BR47" s="193"/>
      <c r="BS47" s="193"/>
      <c r="BT47" s="193"/>
      <c r="BU47" s="192">
        <v>11</v>
      </c>
      <c r="BV47" s="193"/>
      <c r="BW47" s="193"/>
      <c r="BX47" s="193"/>
      <c r="BY47" s="193"/>
      <c r="BZ47" s="193"/>
      <c r="CA47" s="192">
        <v>12</v>
      </c>
      <c r="CB47" s="193"/>
      <c r="CC47" s="193"/>
      <c r="CD47" s="193"/>
      <c r="CE47" s="193"/>
      <c r="CF47" s="193"/>
      <c r="CG47" s="192">
        <v>13</v>
      </c>
      <c r="CH47" s="193"/>
      <c r="CI47" s="193"/>
      <c r="CJ47" s="193"/>
      <c r="CK47" s="193"/>
      <c r="CL47" s="193"/>
      <c r="CM47" s="192">
        <v>14</v>
      </c>
      <c r="CN47" s="193"/>
      <c r="CO47" s="193"/>
      <c r="CP47" s="193"/>
      <c r="CQ47" s="193"/>
      <c r="CR47" s="193"/>
      <c r="CS47" s="192">
        <v>15</v>
      </c>
      <c r="CT47" s="193"/>
      <c r="CU47" s="193"/>
      <c r="CV47" s="193"/>
      <c r="CW47" s="193"/>
      <c r="CX47" s="193"/>
      <c r="CY47" s="17"/>
      <c r="CZ47" s="17"/>
      <c r="DA47" s="17"/>
      <c r="DB47" s="17"/>
      <c r="DC47" s="17"/>
      <c r="DD47" s="17"/>
      <c r="DE47" s="17"/>
      <c r="DF47" s="17"/>
    </row>
    <row r="48" spans="1:111" s="65" customFormat="1" ht="58.5" customHeight="1" x14ac:dyDescent="0.2">
      <c r="A48" s="51"/>
      <c r="B48" s="47"/>
      <c r="C48" s="47"/>
      <c r="D48" s="48"/>
      <c r="E48" s="50"/>
      <c r="F48" s="190" t="s">
        <v>28</v>
      </c>
      <c r="G48" s="242"/>
      <c r="H48" s="242"/>
      <c r="I48" s="242"/>
      <c r="J48" s="242"/>
      <c r="K48" s="242"/>
      <c r="L48" s="201"/>
      <c r="M48" s="196"/>
      <c r="N48" s="197"/>
      <c r="O48" s="197"/>
      <c r="P48" s="197"/>
      <c r="Q48" s="197"/>
      <c r="R48" s="198"/>
      <c r="S48" s="196"/>
      <c r="T48" s="197"/>
      <c r="U48" s="197"/>
      <c r="V48" s="197"/>
      <c r="W48" s="197"/>
      <c r="X48" s="198"/>
      <c r="Y48" s="196"/>
      <c r="Z48" s="197"/>
      <c r="AA48" s="197"/>
      <c r="AB48" s="197"/>
      <c r="AC48" s="197"/>
      <c r="AD48" s="198"/>
      <c r="AE48" s="196"/>
      <c r="AF48" s="197"/>
      <c r="AG48" s="197"/>
      <c r="AH48" s="197"/>
      <c r="AI48" s="197"/>
      <c r="AJ48" s="198"/>
      <c r="AK48" s="196"/>
      <c r="AL48" s="197"/>
      <c r="AM48" s="197"/>
      <c r="AN48" s="197"/>
      <c r="AO48" s="197"/>
      <c r="AP48" s="198"/>
      <c r="AQ48" s="196"/>
      <c r="AR48" s="197"/>
      <c r="AS48" s="197"/>
      <c r="AT48" s="197"/>
      <c r="AU48" s="197"/>
      <c r="AV48" s="198"/>
      <c r="AW48" s="196"/>
      <c r="AX48" s="197"/>
      <c r="AY48" s="197"/>
      <c r="AZ48" s="197"/>
      <c r="BA48" s="197"/>
      <c r="BB48" s="198"/>
      <c r="BC48" s="196"/>
      <c r="BD48" s="197"/>
      <c r="BE48" s="197"/>
      <c r="BF48" s="197"/>
      <c r="BG48" s="197"/>
      <c r="BH48" s="198"/>
      <c r="BI48" s="196"/>
      <c r="BJ48" s="197"/>
      <c r="BK48" s="197"/>
      <c r="BL48" s="197"/>
      <c r="BM48" s="197"/>
      <c r="BN48" s="198"/>
      <c r="BO48" s="196"/>
      <c r="BP48" s="197"/>
      <c r="BQ48" s="197"/>
      <c r="BR48" s="197"/>
      <c r="BS48" s="197"/>
      <c r="BT48" s="198"/>
      <c r="BU48" s="196"/>
      <c r="BV48" s="197"/>
      <c r="BW48" s="197"/>
      <c r="BX48" s="197"/>
      <c r="BY48" s="197"/>
      <c r="BZ48" s="198"/>
      <c r="CA48" s="196"/>
      <c r="CB48" s="197"/>
      <c r="CC48" s="197"/>
      <c r="CD48" s="197"/>
      <c r="CE48" s="197"/>
      <c r="CF48" s="198"/>
      <c r="CG48" s="196"/>
      <c r="CH48" s="197"/>
      <c r="CI48" s="197"/>
      <c r="CJ48" s="197"/>
      <c r="CK48" s="197"/>
      <c r="CL48" s="198"/>
      <c r="CM48" s="196"/>
      <c r="CN48" s="197"/>
      <c r="CO48" s="197"/>
      <c r="CP48" s="197"/>
      <c r="CQ48" s="197"/>
      <c r="CR48" s="198"/>
      <c r="CS48" s="211"/>
      <c r="CT48" s="211"/>
      <c r="CU48" s="211"/>
      <c r="CV48" s="211"/>
      <c r="CW48" s="211"/>
      <c r="CX48" s="211"/>
      <c r="CY48" s="17"/>
      <c r="CZ48" s="17"/>
      <c r="DA48" s="17"/>
      <c r="DB48" s="17"/>
      <c r="DC48" s="17"/>
      <c r="DD48" s="17"/>
      <c r="DE48" s="17"/>
      <c r="DF48" s="17"/>
    </row>
    <row r="49" spans="1:110" ht="21.75" customHeight="1" x14ac:dyDescent="0.25">
      <c r="A49" s="17"/>
      <c r="B49" s="199" t="s">
        <v>24</v>
      </c>
      <c r="C49" s="199" t="s">
        <v>35</v>
      </c>
      <c r="D49" s="194" t="s">
        <v>2</v>
      </c>
      <c r="E49" s="194" t="s">
        <v>10</v>
      </c>
      <c r="F49" s="95"/>
      <c r="G49" s="96"/>
      <c r="H49" s="96"/>
      <c r="I49" s="96"/>
      <c r="J49" s="96"/>
      <c r="K49" s="96"/>
      <c r="L49" s="97"/>
      <c r="M49" s="202"/>
      <c r="N49" s="203"/>
      <c r="O49" s="203"/>
      <c r="P49" s="203"/>
      <c r="Q49" s="203"/>
      <c r="R49" s="204"/>
      <c r="S49" s="202"/>
      <c r="T49" s="203"/>
      <c r="U49" s="203"/>
      <c r="V49" s="203"/>
      <c r="W49" s="203"/>
      <c r="X49" s="204"/>
      <c r="Y49" s="202"/>
      <c r="Z49" s="203"/>
      <c r="AA49" s="203"/>
      <c r="AB49" s="203"/>
      <c r="AC49" s="203"/>
      <c r="AD49" s="204"/>
      <c r="AE49" s="202"/>
      <c r="AF49" s="203"/>
      <c r="AG49" s="203"/>
      <c r="AH49" s="203"/>
      <c r="AI49" s="203"/>
      <c r="AJ49" s="204"/>
      <c r="AK49" s="202"/>
      <c r="AL49" s="203"/>
      <c r="AM49" s="203"/>
      <c r="AN49" s="203"/>
      <c r="AO49" s="203"/>
      <c r="AP49" s="204"/>
      <c r="AQ49" s="202"/>
      <c r="AR49" s="203"/>
      <c r="AS49" s="203"/>
      <c r="AT49" s="203"/>
      <c r="AU49" s="203"/>
      <c r="AV49" s="204"/>
      <c r="AW49" s="202"/>
      <c r="AX49" s="203"/>
      <c r="AY49" s="203"/>
      <c r="AZ49" s="203"/>
      <c r="BA49" s="203"/>
      <c r="BB49" s="204"/>
      <c r="BC49" s="202"/>
      <c r="BD49" s="203"/>
      <c r="BE49" s="203"/>
      <c r="BF49" s="203"/>
      <c r="BG49" s="203"/>
      <c r="BH49" s="204"/>
      <c r="BI49" s="202"/>
      <c r="BJ49" s="203"/>
      <c r="BK49" s="203"/>
      <c r="BL49" s="203"/>
      <c r="BM49" s="203"/>
      <c r="BN49" s="204"/>
      <c r="BO49" s="202"/>
      <c r="BP49" s="203"/>
      <c r="BQ49" s="203"/>
      <c r="BR49" s="203"/>
      <c r="BS49" s="203"/>
      <c r="BT49" s="204"/>
      <c r="BU49" s="202"/>
      <c r="BV49" s="203"/>
      <c r="BW49" s="203"/>
      <c r="BX49" s="203"/>
      <c r="BY49" s="203"/>
      <c r="BZ49" s="204"/>
      <c r="CA49" s="202"/>
      <c r="CB49" s="203"/>
      <c r="CC49" s="203"/>
      <c r="CD49" s="203"/>
      <c r="CE49" s="203"/>
      <c r="CF49" s="204"/>
      <c r="CG49" s="202"/>
      <c r="CH49" s="203"/>
      <c r="CI49" s="203"/>
      <c r="CJ49" s="203"/>
      <c r="CK49" s="203"/>
      <c r="CL49" s="204"/>
      <c r="CM49" s="202"/>
      <c r="CN49" s="203"/>
      <c r="CO49" s="203"/>
      <c r="CP49" s="203"/>
      <c r="CQ49" s="203"/>
      <c r="CR49" s="204"/>
      <c r="CS49" s="202"/>
      <c r="CT49" s="203"/>
      <c r="CU49" s="203"/>
      <c r="CV49" s="203"/>
      <c r="CW49" s="203"/>
      <c r="CX49" s="204"/>
      <c r="CY49" s="17"/>
      <c r="CZ49" s="17"/>
      <c r="DA49" s="17"/>
      <c r="DB49" s="17"/>
      <c r="DC49" s="17"/>
      <c r="DD49" s="17"/>
      <c r="DE49" s="17"/>
      <c r="DF49" s="17"/>
    </row>
    <row r="50" spans="1:110" ht="21.75" customHeight="1" x14ac:dyDescent="0.25">
      <c r="A50" s="17"/>
      <c r="B50" s="240"/>
      <c r="C50" s="240"/>
      <c r="D50" s="241"/>
      <c r="E50" s="241"/>
      <c r="F50" s="98"/>
      <c r="G50" s="99"/>
      <c r="H50" s="100"/>
      <c r="I50" s="100"/>
      <c r="J50" s="100"/>
      <c r="K50" s="100"/>
      <c r="L50" s="97"/>
      <c r="M50" s="237"/>
      <c r="N50" s="238"/>
      <c r="O50" s="238"/>
      <c r="P50" s="238"/>
      <c r="Q50" s="238"/>
      <c r="R50" s="239"/>
      <c r="S50" s="237"/>
      <c r="T50" s="238"/>
      <c r="U50" s="238"/>
      <c r="V50" s="238"/>
      <c r="W50" s="238"/>
      <c r="X50" s="239"/>
      <c r="Y50" s="237"/>
      <c r="Z50" s="238"/>
      <c r="AA50" s="238"/>
      <c r="AB50" s="238"/>
      <c r="AC50" s="238"/>
      <c r="AD50" s="239"/>
      <c r="AE50" s="237"/>
      <c r="AF50" s="238"/>
      <c r="AG50" s="238"/>
      <c r="AH50" s="238"/>
      <c r="AI50" s="238"/>
      <c r="AJ50" s="239"/>
      <c r="AK50" s="237"/>
      <c r="AL50" s="238"/>
      <c r="AM50" s="238"/>
      <c r="AN50" s="238"/>
      <c r="AO50" s="238"/>
      <c r="AP50" s="239"/>
      <c r="AQ50" s="237"/>
      <c r="AR50" s="238"/>
      <c r="AS50" s="238"/>
      <c r="AT50" s="238"/>
      <c r="AU50" s="238"/>
      <c r="AV50" s="239"/>
      <c r="AW50" s="237"/>
      <c r="AX50" s="238"/>
      <c r="AY50" s="238"/>
      <c r="AZ50" s="238"/>
      <c r="BA50" s="238"/>
      <c r="BB50" s="239"/>
      <c r="BC50" s="237"/>
      <c r="BD50" s="238"/>
      <c r="BE50" s="238"/>
      <c r="BF50" s="238"/>
      <c r="BG50" s="238"/>
      <c r="BH50" s="239"/>
      <c r="BI50" s="237"/>
      <c r="BJ50" s="238"/>
      <c r="BK50" s="238"/>
      <c r="BL50" s="238"/>
      <c r="BM50" s="238"/>
      <c r="BN50" s="239"/>
      <c r="BO50" s="237"/>
      <c r="BP50" s="238"/>
      <c r="BQ50" s="238"/>
      <c r="BR50" s="238"/>
      <c r="BS50" s="238"/>
      <c r="BT50" s="239"/>
      <c r="BU50" s="237"/>
      <c r="BV50" s="238"/>
      <c r="BW50" s="238"/>
      <c r="BX50" s="238"/>
      <c r="BY50" s="238"/>
      <c r="BZ50" s="239"/>
      <c r="CA50" s="237"/>
      <c r="CB50" s="238"/>
      <c r="CC50" s="238"/>
      <c r="CD50" s="238"/>
      <c r="CE50" s="238"/>
      <c r="CF50" s="239"/>
      <c r="CG50" s="237"/>
      <c r="CH50" s="238"/>
      <c r="CI50" s="238"/>
      <c r="CJ50" s="238"/>
      <c r="CK50" s="238"/>
      <c r="CL50" s="239"/>
      <c r="CM50" s="237"/>
      <c r="CN50" s="238"/>
      <c r="CO50" s="238"/>
      <c r="CP50" s="238"/>
      <c r="CQ50" s="238"/>
      <c r="CR50" s="239"/>
      <c r="CS50" s="237"/>
      <c r="CT50" s="238"/>
      <c r="CU50" s="238"/>
      <c r="CV50" s="238"/>
      <c r="CW50" s="238"/>
      <c r="CX50" s="239"/>
      <c r="CY50" s="17"/>
      <c r="CZ50" s="17"/>
      <c r="DA50" s="17"/>
      <c r="DB50" s="17"/>
      <c r="DC50" s="17"/>
      <c r="DD50" s="17"/>
      <c r="DE50" s="17"/>
      <c r="DF50" s="17"/>
    </row>
    <row r="51" spans="1:110" ht="21.75" customHeight="1" x14ac:dyDescent="0.25">
      <c r="A51" s="17"/>
      <c r="B51" s="240"/>
      <c r="C51" s="240"/>
      <c r="D51" s="241"/>
      <c r="E51" s="241"/>
      <c r="F51" s="98"/>
      <c r="G51" s="100"/>
      <c r="H51" s="99"/>
      <c r="I51" s="100"/>
      <c r="J51" s="227" t="s">
        <v>59</v>
      </c>
      <c r="K51" s="227"/>
      <c r="L51" s="228"/>
      <c r="M51" s="237"/>
      <c r="N51" s="238"/>
      <c r="O51" s="238"/>
      <c r="P51" s="238"/>
      <c r="Q51" s="238"/>
      <c r="R51" s="239"/>
      <c r="S51" s="237"/>
      <c r="T51" s="238"/>
      <c r="U51" s="238"/>
      <c r="V51" s="238"/>
      <c r="W51" s="238"/>
      <c r="X51" s="239"/>
      <c r="Y51" s="237"/>
      <c r="Z51" s="238"/>
      <c r="AA51" s="238"/>
      <c r="AB51" s="238"/>
      <c r="AC51" s="238"/>
      <c r="AD51" s="239"/>
      <c r="AE51" s="237"/>
      <c r="AF51" s="238"/>
      <c r="AG51" s="238"/>
      <c r="AH51" s="238"/>
      <c r="AI51" s="238"/>
      <c r="AJ51" s="239"/>
      <c r="AK51" s="237"/>
      <c r="AL51" s="238"/>
      <c r="AM51" s="238"/>
      <c r="AN51" s="238"/>
      <c r="AO51" s="238"/>
      <c r="AP51" s="239"/>
      <c r="AQ51" s="237"/>
      <c r="AR51" s="238"/>
      <c r="AS51" s="238"/>
      <c r="AT51" s="238"/>
      <c r="AU51" s="238"/>
      <c r="AV51" s="239"/>
      <c r="AW51" s="237"/>
      <c r="AX51" s="238"/>
      <c r="AY51" s="238"/>
      <c r="AZ51" s="238"/>
      <c r="BA51" s="238"/>
      <c r="BB51" s="239"/>
      <c r="BC51" s="237"/>
      <c r="BD51" s="238"/>
      <c r="BE51" s="238"/>
      <c r="BF51" s="238"/>
      <c r="BG51" s="238"/>
      <c r="BH51" s="239"/>
      <c r="BI51" s="237"/>
      <c r="BJ51" s="238"/>
      <c r="BK51" s="238"/>
      <c r="BL51" s="238"/>
      <c r="BM51" s="238"/>
      <c r="BN51" s="239"/>
      <c r="BO51" s="237"/>
      <c r="BP51" s="238"/>
      <c r="BQ51" s="238"/>
      <c r="BR51" s="238"/>
      <c r="BS51" s="238"/>
      <c r="BT51" s="239"/>
      <c r="BU51" s="237"/>
      <c r="BV51" s="238"/>
      <c r="BW51" s="238"/>
      <c r="BX51" s="238"/>
      <c r="BY51" s="238"/>
      <c r="BZ51" s="239"/>
      <c r="CA51" s="237"/>
      <c r="CB51" s="238"/>
      <c r="CC51" s="238"/>
      <c r="CD51" s="238"/>
      <c r="CE51" s="238"/>
      <c r="CF51" s="239"/>
      <c r="CG51" s="237"/>
      <c r="CH51" s="238"/>
      <c r="CI51" s="238"/>
      <c r="CJ51" s="238"/>
      <c r="CK51" s="238"/>
      <c r="CL51" s="239"/>
      <c r="CM51" s="237"/>
      <c r="CN51" s="238"/>
      <c r="CO51" s="238"/>
      <c r="CP51" s="238"/>
      <c r="CQ51" s="238"/>
      <c r="CR51" s="239"/>
      <c r="CS51" s="237"/>
      <c r="CT51" s="238"/>
      <c r="CU51" s="238"/>
      <c r="CV51" s="238"/>
      <c r="CW51" s="238"/>
      <c r="CX51" s="239"/>
      <c r="CY51" s="17"/>
      <c r="CZ51" s="17"/>
      <c r="DA51" s="17"/>
      <c r="DB51" s="17"/>
      <c r="DC51" s="17"/>
      <c r="DD51" s="17"/>
      <c r="DE51" s="17"/>
      <c r="DF51" s="17"/>
    </row>
    <row r="52" spans="1:110" ht="21.75" customHeight="1" x14ac:dyDescent="0.25">
      <c r="A52" s="17"/>
      <c r="B52" s="240"/>
      <c r="C52" s="240"/>
      <c r="D52" s="241"/>
      <c r="E52" s="241"/>
      <c r="F52" s="98"/>
      <c r="G52" s="100"/>
      <c r="H52" s="100"/>
      <c r="I52" s="99"/>
      <c r="J52" s="227"/>
      <c r="K52" s="227"/>
      <c r="L52" s="228"/>
      <c r="M52" s="237"/>
      <c r="N52" s="238"/>
      <c r="O52" s="238"/>
      <c r="P52" s="238"/>
      <c r="Q52" s="238"/>
      <c r="R52" s="239"/>
      <c r="S52" s="237"/>
      <c r="T52" s="238"/>
      <c r="U52" s="238"/>
      <c r="V52" s="238"/>
      <c r="W52" s="238"/>
      <c r="X52" s="239"/>
      <c r="Y52" s="237"/>
      <c r="Z52" s="238"/>
      <c r="AA52" s="238"/>
      <c r="AB52" s="238"/>
      <c r="AC52" s="238"/>
      <c r="AD52" s="239"/>
      <c r="AE52" s="237"/>
      <c r="AF52" s="238"/>
      <c r="AG52" s="238"/>
      <c r="AH52" s="238"/>
      <c r="AI52" s="238"/>
      <c r="AJ52" s="239"/>
      <c r="AK52" s="237"/>
      <c r="AL52" s="238"/>
      <c r="AM52" s="238"/>
      <c r="AN52" s="238"/>
      <c r="AO52" s="238"/>
      <c r="AP52" s="239"/>
      <c r="AQ52" s="237"/>
      <c r="AR52" s="238"/>
      <c r="AS52" s="238"/>
      <c r="AT52" s="238"/>
      <c r="AU52" s="238"/>
      <c r="AV52" s="239"/>
      <c r="AW52" s="237"/>
      <c r="AX52" s="238"/>
      <c r="AY52" s="238"/>
      <c r="AZ52" s="238"/>
      <c r="BA52" s="238"/>
      <c r="BB52" s="239"/>
      <c r="BC52" s="237"/>
      <c r="BD52" s="238"/>
      <c r="BE52" s="238"/>
      <c r="BF52" s="238"/>
      <c r="BG52" s="238"/>
      <c r="BH52" s="239"/>
      <c r="BI52" s="237"/>
      <c r="BJ52" s="238"/>
      <c r="BK52" s="238"/>
      <c r="BL52" s="238"/>
      <c r="BM52" s="238"/>
      <c r="BN52" s="239"/>
      <c r="BO52" s="237"/>
      <c r="BP52" s="238"/>
      <c r="BQ52" s="238"/>
      <c r="BR52" s="238"/>
      <c r="BS52" s="238"/>
      <c r="BT52" s="239"/>
      <c r="BU52" s="237"/>
      <c r="BV52" s="238"/>
      <c r="BW52" s="238"/>
      <c r="BX52" s="238"/>
      <c r="BY52" s="238"/>
      <c r="BZ52" s="239"/>
      <c r="CA52" s="237"/>
      <c r="CB52" s="238"/>
      <c r="CC52" s="238"/>
      <c r="CD52" s="238"/>
      <c r="CE52" s="238"/>
      <c r="CF52" s="239"/>
      <c r="CG52" s="237"/>
      <c r="CH52" s="238"/>
      <c r="CI52" s="238"/>
      <c r="CJ52" s="238"/>
      <c r="CK52" s="238"/>
      <c r="CL52" s="239"/>
      <c r="CM52" s="237"/>
      <c r="CN52" s="238"/>
      <c r="CO52" s="238"/>
      <c r="CP52" s="238"/>
      <c r="CQ52" s="238"/>
      <c r="CR52" s="239"/>
      <c r="CS52" s="237"/>
      <c r="CT52" s="238"/>
      <c r="CU52" s="238"/>
      <c r="CV52" s="238"/>
      <c r="CW52" s="238"/>
      <c r="CX52" s="239"/>
      <c r="CY52" s="17"/>
      <c r="CZ52" s="17"/>
      <c r="DA52" s="17"/>
      <c r="DB52" s="17"/>
      <c r="DC52" s="17"/>
      <c r="DD52" s="17"/>
      <c r="DE52" s="17"/>
      <c r="DF52" s="17"/>
    </row>
    <row r="53" spans="1:110" ht="21.75" customHeight="1" x14ac:dyDescent="0.25">
      <c r="A53" s="17"/>
      <c r="B53" s="240"/>
      <c r="C53" s="240"/>
      <c r="D53" s="241"/>
      <c r="E53" s="241"/>
      <c r="F53" s="98"/>
      <c r="G53" s="100"/>
      <c r="H53" s="100"/>
      <c r="I53" s="100"/>
      <c r="J53" s="99"/>
      <c r="K53" s="100"/>
      <c r="L53" s="97"/>
      <c r="M53" s="237"/>
      <c r="N53" s="238"/>
      <c r="O53" s="238"/>
      <c r="P53" s="238"/>
      <c r="Q53" s="238"/>
      <c r="R53" s="239"/>
      <c r="S53" s="237"/>
      <c r="T53" s="238"/>
      <c r="U53" s="238"/>
      <c r="V53" s="238"/>
      <c r="W53" s="238"/>
      <c r="X53" s="239"/>
      <c r="Y53" s="237"/>
      <c r="Z53" s="238"/>
      <c r="AA53" s="238"/>
      <c r="AB53" s="238"/>
      <c r="AC53" s="238"/>
      <c r="AD53" s="239"/>
      <c r="AE53" s="237"/>
      <c r="AF53" s="238"/>
      <c r="AG53" s="238"/>
      <c r="AH53" s="238"/>
      <c r="AI53" s="238"/>
      <c r="AJ53" s="239"/>
      <c r="AK53" s="237"/>
      <c r="AL53" s="238"/>
      <c r="AM53" s="238"/>
      <c r="AN53" s="238"/>
      <c r="AO53" s="238"/>
      <c r="AP53" s="239"/>
      <c r="AQ53" s="237"/>
      <c r="AR53" s="238"/>
      <c r="AS53" s="238"/>
      <c r="AT53" s="238"/>
      <c r="AU53" s="238"/>
      <c r="AV53" s="239"/>
      <c r="AW53" s="237"/>
      <c r="AX53" s="238"/>
      <c r="AY53" s="238"/>
      <c r="AZ53" s="238"/>
      <c r="BA53" s="238"/>
      <c r="BB53" s="239"/>
      <c r="BC53" s="237"/>
      <c r="BD53" s="238"/>
      <c r="BE53" s="238"/>
      <c r="BF53" s="238"/>
      <c r="BG53" s="238"/>
      <c r="BH53" s="239"/>
      <c r="BI53" s="237"/>
      <c r="BJ53" s="238"/>
      <c r="BK53" s="238"/>
      <c r="BL53" s="238"/>
      <c r="BM53" s="238"/>
      <c r="BN53" s="239"/>
      <c r="BO53" s="237"/>
      <c r="BP53" s="238"/>
      <c r="BQ53" s="238"/>
      <c r="BR53" s="238"/>
      <c r="BS53" s="238"/>
      <c r="BT53" s="239"/>
      <c r="BU53" s="237"/>
      <c r="BV53" s="238"/>
      <c r="BW53" s="238"/>
      <c r="BX53" s="238"/>
      <c r="BY53" s="238"/>
      <c r="BZ53" s="239"/>
      <c r="CA53" s="237"/>
      <c r="CB53" s="238"/>
      <c r="CC53" s="238"/>
      <c r="CD53" s="238"/>
      <c r="CE53" s="238"/>
      <c r="CF53" s="239"/>
      <c r="CG53" s="237"/>
      <c r="CH53" s="238"/>
      <c r="CI53" s="238"/>
      <c r="CJ53" s="238"/>
      <c r="CK53" s="238"/>
      <c r="CL53" s="239"/>
      <c r="CM53" s="237"/>
      <c r="CN53" s="238"/>
      <c r="CO53" s="238"/>
      <c r="CP53" s="238"/>
      <c r="CQ53" s="238"/>
      <c r="CR53" s="239"/>
      <c r="CS53" s="237"/>
      <c r="CT53" s="238"/>
      <c r="CU53" s="238"/>
      <c r="CV53" s="238"/>
      <c r="CW53" s="238"/>
      <c r="CX53" s="239"/>
      <c r="CY53" s="17"/>
      <c r="CZ53" s="17"/>
      <c r="DA53" s="17"/>
      <c r="DB53" s="17"/>
      <c r="DC53" s="17"/>
      <c r="DD53" s="17"/>
      <c r="DE53" s="17"/>
      <c r="DF53" s="17"/>
    </row>
    <row r="54" spans="1:110" ht="21.75" customHeight="1" x14ac:dyDescent="0.25">
      <c r="A54" s="17"/>
      <c r="B54" s="240"/>
      <c r="C54" s="240"/>
      <c r="D54" s="241"/>
      <c r="E54" s="241"/>
      <c r="F54" s="98"/>
      <c r="G54" s="229" t="s">
        <v>58</v>
      </c>
      <c r="H54" s="229"/>
      <c r="I54" s="229"/>
      <c r="J54" s="229"/>
      <c r="K54" s="99"/>
      <c r="L54" s="97"/>
      <c r="M54" s="237"/>
      <c r="N54" s="238"/>
      <c r="O54" s="238"/>
      <c r="P54" s="238"/>
      <c r="Q54" s="238"/>
      <c r="R54" s="239"/>
      <c r="S54" s="237"/>
      <c r="T54" s="238"/>
      <c r="U54" s="238"/>
      <c r="V54" s="238"/>
      <c r="W54" s="238"/>
      <c r="X54" s="239"/>
      <c r="Y54" s="237"/>
      <c r="Z54" s="238"/>
      <c r="AA54" s="238"/>
      <c r="AB54" s="238"/>
      <c r="AC54" s="238"/>
      <c r="AD54" s="239"/>
      <c r="AE54" s="237"/>
      <c r="AF54" s="238"/>
      <c r="AG54" s="238"/>
      <c r="AH54" s="238"/>
      <c r="AI54" s="238"/>
      <c r="AJ54" s="239"/>
      <c r="AK54" s="237"/>
      <c r="AL54" s="238"/>
      <c r="AM54" s="238"/>
      <c r="AN54" s="238"/>
      <c r="AO54" s="238"/>
      <c r="AP54" s="239"/>
      <c r="AQ54" s="237"/>
      <c r="AR54" s="238"/>
      <c r="AS54" s="238"/>
      <c r="AT54" s="238"/>
      <c r="AU54" s="238"/>
      <c r="AV54" s="239"/>
      <c r="AW54" s="237"/>
      <c r="AX54" s="238"/>
      <c r="AY54" s="238"/>
      <c r="AZ54" s="238"/>
      <c r="BA54" s="238"/>
      <c r="BB54" s="239"/>
      <c r="BC54" s="237"/>
      <c r="BD54" s="238"/>
      <c r="BE54" s="238"/>
      <c r="BF54" s="238"/>
      <c r="BG54" s="238"/>
      <c r="BH54" s="239"/>
      <c r="BI54" s="237"/>
      <c r="BJ54" s="238"/>
      <c r="BK54" s="238"/>
      <c r="BL54" s="238"/>
      <c r="BM54" s="238"/>
      <c r="BN54" s="239"/>
      <c r="BO54" s="237"/>
      <c r="BP54" s="238"/>
      <c r="BQ54" s="238"/>
      <c r="BR54" s="238"/>
      <c r="BS54" s="238"/>
      <c r="BT54" s="239"/>
      <c r="BU54" s="237"/>
      <c r="BV54" s="238"/>
      <c r="BW54" s="238"/>
      <c r="BX54" s="238"/>
      <c r="BY54" s="238"/>
      <c r="BZ54" s="239"/>
      <c r="CA54" s="237"/>
      <c r="CB54" s="238"/>
      <c r="CC54" s="238"/>
      <c r="CD54" s="238"/>
      <c r="CE54" s="238"/>
      <c r="CF54" s="239"/>
      <c r="CG54" s="237"/>
      <c r="CH54" s="238"/>
      <c r="CI54" s="238"/>
      <c r="CJ54" s="238"/>
      <c r="CK54" s="238"/>
      <c r="CL54" s="239"/>
      <c r="CM54" s="237"/>
      <c r="CN54" s="238"/>
      <c r="CO54" s="238"/>
      <c r="CP54" s="238"/>
      <c r="CQ54" s="238"/>
      <c r="CR54" s="239"/>
      <c r="CS54" s="237"/>
      <c r="CT54" s="238"/>
      <c r="CU54" s="238"/>
      <c r="CV54" s="238"/>
      <c r="CW54" s="238"/>
      <c r="CX54" s="239"/>
      <c r="CY54" s="51"/>
      <c r="CZ54" s="114"/>
      <c r="DA54" s="114"/>
      <c r="DB54" s="114"/>
      <c r="DC54" s="114"/>
      <c r="DD54" s="114"/>
      <c r="DE54" s="114"/>
      <c r="DF54" s="114"/>
    </row>
    <row r="55" spans="1:110" ht="21.75" customHeight="1" x14ac:dyDescent="0.25">
      <c r="A55" s="17"/>
      <c r="B55" s="200"/>
      <c r="C55" s="200"/>
      <c r="D55" s="195"/>
      <c r="E55" s="195"/>
      <c r="F55" s="101"/>
      <c r="G55" s="230"/>
      <c r="H55" s="230"/>
      <c r="I55" s="230"/>
      <c r="J55" s="230"/>
      <c r="K55" s="102"/>
      <c r="L55" s="103"/>
      <c r="M55" s="205"/>
      <c r="N55" s="206"/>
      <c r="O55" s="206"/>
      <c r="P55" s="206"/>
      <c r="Q55" s="206"/>
      <c r="R55" s="207"/>
      <c r="S55" s="205"/>
      <c r="T55" s="206"/>
      <c r="U55" s="206"/>
      <c r="V55" s="206"/>
      <c r="W55" s="206"/>
      <c r="X55" s="207"/>
      <c r="Y55" s="205"/>
      <c r="Z55" s="206"/>
      <c r="AA55" s="206"/>
      <c r="AB55" s="206"/>
      <c r="AC55" s="206"/>
      <c r="AD55" s="207"/>
      <c r="AE55" s="205"/>
      <c r="AF55" s="206"/>
      <c r="AG55" s="206"/>
      <c r="AH55" s="206"/>
      <c r="AI55" s="206"/>
      <c r="AJ55" s="207"/>
      <c r="AK55" s="205"/>
      <c r="AL55" s="206"/>
      <c r="AM55" s="206"/>
      <c r="AN55" s="206"/>
      <c r="AO55" s="206"/>
      <c r="AP55" s="207"/>
      <c r="AQ55" s="205"/>
      <c r="AR55" s="206"/>
      <c r="AS55" s="206"/>
      <c r="AT55" s="206"/>
      <c r="AU55" s="206"/>
      <c r="AV55" s="207"/>
      <c r="AW55" s="205"/>
      <c r="AX55" s="206"/>
      <c r="AY55" s="206"/>
      <c r="AZ55" s="206"/>
      <c r="BA55" s="206"/>
      <c r="BB55" s="207"/>
      <c r="BC55" s="205"/>
      <c r="BD55" s="206"/>
      <c r="BE55" s="206"/>
      <c r="BF55" s="206"/>
      <c r="BG55" s="206"/>
      <c r="BH55" s="207"/>
      <c r="BI55" s="205"/>
      <c r="BJ55" s="206"/>
      <c r="BK55" s="206"/>
      <c r="BL55" s="206"/>
      <c r="BM55" s="206"/>
      <c r="BN55" s="207"/>
      <c r="BO55" s="205"/>
      <c r="BP55" s="206"/>
      <c r="BQ55" s="206"/>
      <c r="BR55" s="206"/>
      <c r="BS55" s="206"/>
      <c r="BT55" s="207"/>
      <c r="BU55" s="205"/>
      <c r="BV55" s="206"/>
      <c r="BW55" s="206"/>
      <c r="BX55" s="206"/>
      <c r="BY55" s="206"/>
      <c r="BZ55" s="207"/>
      <c r="CA55" s="205"/>
      <c r="CB55" s="206"/>
      <c r="CC55" s="206"/>
      <c r="CD55" s="206"/>
      <c r="CE55" s="206"/>
      <c r="CF55" s="207"/>
      <c r="CG55" s="205"/>
      <c r="CH55" s="206"/>
      <c r="CI55" s="206"/>
      <c r="CJ55" s="206"/>
      <c r="CK55" s="206"/>
      <c r="CL55" s="207"/>
      <c r="CM55" s="205"/>
      <c r="CN55" s="206"/>
      <c r="CO55" s="206"/>
      <c r="CP55" s="206"/>
      <c r="CQ55" s="206"/>
      <c r="CR55" s="207"/>
      <c r="CS55" s="205"/>
      <c r="CT55" s="206"/>
      <c r="CU55" s="206"/>
      <c r="CV55" s="206"/>
      <c r="CW55" s="206"/>
      <c r="CX55" s="207"/>
      <c r="CY55" s="51"/>
      <c r="CZ55" s="114"/>
      <c r="DA55" s="114"/>
      <c r="DB55" s="114"/>
      <c r="DC55" s="114"/>
      <c r="DD55" s="114"/>
      <c r="DE55" s="114"/>
      <c r="DF55" s="114"/>
    </row>
    <row r="56" spans="1:110" s="65" customFormat="1" ht="15.75" customHeight="1" x14ac:dyDescent="0.25">
      <c r="A56" s="51"/>
      <c r="B56" s="31">
        <v>1</v>
      </c>
      <c r="C56" s="30">
        <f t="shared" ref="C56:C70" si="0">MAX($M79:$CX79)</f>
        <v>0</v>
      </c>
      <c r="D56" s="39" t="str">
        <f t="shared" ref="D56:D70" si="1">IF(ISNUMBER($E56), ($E56/SUM($E$56:$E$70))*100, "")</f>
        <v/>
      </c>
      <c r="E56" s="112" t="str">
        <f>IF('House of Quality 3'!$M$74&lt;&gt;0, 'House of Quality 3'!$M$74,"")</f>
        <v/>
      </c>
      <c r="F56" s="234" t="str">
        <f>IF('House of Quality 3'!$M$49&lt;&gt;"", 'House of Quality 3'!$M$49,"")</f>
        <v/>
      </c>
      <c r="G56" s="235"/>
      <c r="H56" s="235"/>
      <c r="I56" s="235"/>
      <c r="J56" s="235"/>
      <c r="K56" s="235"/>
      <c r="L56" s="236"/>
      <c r="M56" s="185"/>
      <c r="N56" s="186"/>
      <c r="O56" s="186"/>
      <c r="P56" s="186"/>
      <c r="Q56" s="186"/>
      <c r="R56" s="187"/>
      <c r="S56" s="185"/>
      <c r="T56" s="186"/>
      <c r="U56" s="186"/>
      <c r="V56" s="186"/>
      <c r="W56" s="186"/>
      <c r="X56" s="187"/>
      <c r="Y56" s="185"/>
      <c r="Z56" s="186"/>
      <c r="AA56" s="186"/>
      <c r="AB56" s="186"/>
      <c r="AC56" s="186"/>
      <c r="AD56" s="187"/>
      <c r="AE56" s="185"/>
      <c r="AF56" s="186"/>
      <c r="AG56" s="186"/>
      <c r="AH56" s="186"/>
      <c r="AI56" s="186"/>
      <c r="AJ56" s="187"/>
      <c r="AK56" s="185"/>
      <c r="AL56" s="186"/>
      <c r="AM56" s="186"/>
      <c r="AN56" s="186"/>
      <c r="AO56" s="186"/>
      <c r="AP56" s="187"/>
      <c r="AQ56" s="185"/>
      <c r="AR56" s="186"/>
      <c r="AS56" s="186"/>
      <c r="AT56" s="186"/>
      <c r="AU56" s="186"/>
      <c r="AV56" s="187"/>
      <c r="AW56" s="185"/>
      <c r="AX56" s="186"/>
      <c r="AY56" s="186"/>
      <c r="AZ56" s="186"/>
      <c r="BA56" s="186"/>
      <c r="BB56" s="187"/>
      <c r="BC56" s="185"/>
      <c r="BD56" s="186"/>
      <c r="BE56" s="186"/>
      <c r="BF56" s="186"/>
      <c r="BG56" s="186"/>
      <c r="BH56" s="187"/>
      <c r="BI56" s="185"/>
      <c r="BJ56" s="186"/>
      <c r="BK56" s="186"/>
      <c r="BL56" s="186"/>
      <c r="BM56" s="186"/>
      <c r="BN56" s="187"/>
      <c r="BO56" s="185"/>
      <c r="BP56" s="186"/>
      <c r="BQ56" s="186"/>
      <c r="BR56" s="186"/>
      <c r="BS56" s="186"/>
      <c r="BT56" s="187"/>
      <c r="BU56" s="185"/>
      <c r="BV56" s="186"/>
      <c r="BW56" s="186"/>
      <c r="BX56" s="186"/>
      <c r="BY56" s="186"/>
      <c r="BZ56" s="187"/>
      <c r="CA56" s="185"/>
      <c r="CB56" s="186"/>
      <c r="CC56" s="186"/>
      <c r="CD56" s="186"/>
      <c r="CE56" s="186"/>
      <c r="CF56" s="187"/>
      <c r="CG56" s="185"/>
      <c r="CH56" s="186"/>
      <c r="CI56" s="186"/>
      <c r="CJ56" s="186"/>
      <c r="CK56" s="186"/>
      <c r="CL56" s="187"/>
      <c r="CM56" s="185"/>
      <c r="CN56" s="186"/>
      <c r="CO56" s="186"/>
      <c r="CP56" s="186"/>
      <c r="CQ56" s="186"/>
      <c r="CR56" s="187"/>
      <c r="CS56" s="212"/>
      <c r="CT56" s="212"/>
      <c r="CU56" s="212"/>
      <c r="CV56" s="212"/>
      <c r="CW56" s="212"/>
      <c r="CX56" s="212"/>
      <c r="CY56" s="51"/>
      <c r="CZ56" s="114"/>
      <c r="DA56" s="114"/>
      <c r="DB56" s="114"/>
      <c r="DC56" s="114"/>
      <c r="DD56" s="114"/>
      <c r="DE56" s="114"/>
      <c r="DF56" s="114"/>
    </row>
    <row r="57" spans="1:110" s="65" customFormat="1" ht="15.75" customHeight="1" x14ac:dyDescent="0.25">
      <c r="A57" s="51"/>
      <c r="B57" s="31">
        <v>2</v>
      </c>
      <c r="C57" s="30">
        <f t="shared" si="0"/>
        <v>0</v>
      </c>
      <c r="D57" s="39" t="str">
        <f t="shared" si="1"/>
        <v/>
      </c>
      <c r="E57" s="112" t="str">
        <f>IF('House of Quality 3'!$S$74&lt;&gt;0, 'House of Quality 3'!$S$74,"")</f>
        <v/>
      </c>
      <c r="F57" s="234" t="str">
        <f>IF('House of Quality 3'!$S$49&lt;&gt;"", 'House of Quality 3'!$S$49,"")</f>
        <v/>
      </c>
      <c r="G57" s="235"/>
      <c r="H57" s="235"/>
      <c r="I57" s="235"/>
      <c r="J57" s="235"/>
      <c r="K57" s="235"/>
      <c r="L57" s="236"/>
      <c r="M57" s="185"/>
      <c r="N57" s="186"/>
      <c r="O57" s="186"/>
      <c r="P57" s="186"/>
      <c r="Q57" s="186"/>
      <c r="R57" s="187"/>
      <c r="S57" s="185"/>
      <c r="T57" s="186"/>
      <c r="U57" s="186"/>
      <c r="V57" s="186"/>
      <c r="W57" s="186"/>
      <c r="X57" s="187"/>
      <c r="Y57" s="185"/>
      <c r="Z57" s="186"/>
      <c r="AA57" s="186"/>
      <c r="AB57" s="186"/>
      <c r="AC57" s="186"/>
      <c r="AD57" s="187"/>
      <c r="AE57" s="185"/>
      <c r="AF57" s="186"/>
      <c r="AG57" s="186"/>
      <c r="AH57" s="186"/>
      <c r="AI57" s="186"/>
      <c r="AJ57" s="187"/>
      <c r="AK57" s="185"/>
      <c r="AL57" s="186"/>
      <c r="AM57" s="186"/>
      <c r="AN57" s="186"/>
      <c r="AO57" s="186"/>
      <c r="AP57" s="187"/>
      <c r="AQ57" s="185"/>
      <c r="AR57" s="186"/>
      <c r="AS57" s="186"/>
      <c r="AT57" s="186"/>
      <c r="AU57" s="186"/>
      <c r="AV57" s="187"/>
      <c r="AW57" s="185"/>
      <c r="AX57" s="186"/>
      <c r="AY57" s="186"/>
      <c r="AZ57" s="186"/>
      <c r="BA57" s="186"/>
      <c r="BB57" s="187"/>
      <c r="BC57" s="185"/>
      <c r="BD57" s="186"/>
      <c r="BE57" s="186"/>
      <c r="BF57" s="186"/>
      <c r="BG57" s="186"/>
      <c r="BH57" s="187"/>
      <c r="BI57" s="185"/>
      <c r="BJ57" s="186"/>
      <c r="BK57" s="186"/>
      <c r="BL57" s="186"/>
      <c r="BM57" s="186"/>
      <c r="BN57" s="187"/>
      <c r="BO57" s="185"/>
      <c r="BP57" s="186"/>
      <c r="BQ57" s="186"/>
      <c r="BR57" s="186"/>
      <c r="BS57" s="186"/>
      <c r="BT57" s="187"/>
      <c r="BU57" s="185"/>
      <c r="BV57" s="186"/>
      <c r="BW57" s="186"/>
      <c r="BX57" s="186"/>
      <c r="BY57" s="186"/>
      <c r="BZ57" s="187"/>
      <c r="CA57" s="185"/>
      <c r="CB57" s="186"/>
      <c r="CC57" s="186"/>
      <c r="CD57" s="186"/>
      <c r="CE57" s="186"/>
      <c r="CF57" s="187"/>
      <c r="CG57" s="185"/>
      <c r="CH57" s="186"/>
      <c r="CI57" s="186"/>
      <c r="CJ57" s="186"/>
      <c r="CK57" s="186"/>
      <c r="CL57" s="187"/>
      <c r="CM57" s="185"/>
      <c r="CN57" s="186"/>
      <c r="CO57" s="186"/>
      <c r="CP57" s="186"/>
      <c r="CQ57" s="186"/>
      <c r="CR57" s="187"/>
      <c r="CS57" s="185"/>
      <c r="CT57" s="186"/>
      <c r="CU57" s="186"/>
      <c r="CV57" s="186"/>
      <c r="CW57" s="186"/>
      <c r="CX57" s="187"/>
      <c r="CY57" s="51"/>
      <c r="CZ57" s="114"/>
      <c r="DA57" s="114"/>
      <c r="DB57" s="114"/>
      <c r="DC57" s="114"/>
      <c r="DD57" s="114"/>
      <c r="DE57" s="114"/>
      <c r="DF57" s="114"/>
    </row>
    <row r="58" spans="1:110" s="65" customFormat="1" ht="15.75" customHeight="1" x14ac:dyDescent="0.25">
      <c r="A58" s="51"/>
      <c r="B58" s="31">
        <v>3</v>
      </c>
      <c r="C58" s="30">
        <f t="shared" si="0"/>
        <v>0</v>
      </c>
      <c r="D58" s="39" t="str">
        <f t="shared" si="1"/>
        <v/>
      </c>
      <c r="E58" s="112" t="str">
        <f>IF('House of Quality 3'!$Y$74&lt;&gt;0, 'House of Quality 3'!$Y$74,"")</f>
        <v/>
      </c>
      <c r="F58" s="234" t="str">
        <f>IF('House of Quality 3'!$Y$49&lt;&gt;"", 'House of Quality 3'!$Y$49,"")</f>
        <v/>
      </c>
      <c r="G58" s="235"/>
      <c r="H58" s="235"/>
      <c r="I58" s="235"/>
      <c r="J58" s="235"/>
      <c r="K58" s="235"/>
      <c r="L58" s="236"/>
      <c r="M58" s="185"/>
      <c r="N58" s="186"/>
      <c r="O58" s="186"/>
      <c r="P58" s="186"/>
      <c r="Q58" s="186"/>
      <c r="R58" s="187"/>
      <c r="S58" s="185"/>
      <c r="T58" s="186"/>
      <c r="U58" s="186"/>
      <c r="V58" s="186"/>
      <c r="W58" s="186"/>
      <c r="X58" s="187"/>
      <c r="Y58" s="185"/>
      <c r="Z58" s="186"/>
      <c r="AA58" s="186"/>
      <c r="AB58" s="186"/>
      <c r="AC58" s="186"/>
      <c r="AD58" s="187"/>
      <c r="AE58" s="185"/>
      <c r="AF58" s="186"/>
      <c r="AG58" s="186"/>
      <c r="AH58" s="186"/>
      <c r="AI58" s="186"/>
      <c r="AJ58" s="187"/>
      <c r="AK58" s="185"/>
      <c r="AL58" s="186"/>
      <c r="AM58" s="186"/>
      <c r="AN58" s="186"/>
      <c r="AO58" s="186"/>
      <c r="AP58" s="187"/>
      <c r="AQ58" s="185"/>
      <c r="AR58" s="186"/>
      <c r="AS58" s="186"/>
      <c r="AT58" s="186"/>
      <c r="AU58" s="186"/>
      <c r="AV58" s="187"/>
      <c r="AW58" s="185"/>
      <c r="AX58" s="186"/>
      <c r="AY58" s="186"/>
      <c r="AZ58" s="186"/>
      <c r="BA58" s="186"/>
      <c r="BB58" s="187"/>
      <c r="BC58" s="185"/>
      <c r="BD58" s="186"/>
      <c r="BE58" s="186"/>
      <c r="BF58" s="186"/>
      <c r="BG58" s="186"/>
      <c r="BH58" s="187"/>
      <c r="BI58" s="185"/>
      <c r="BJ58" s="186"/>
      <c r="BK58" s="186"/>
      <c r="BL58" s="186"/>
      <c r="BM58" s="186"/>
      <c r="BN58" s="187"/>
      <c r="BO58" s="185"/>
      <c r="BP58" s="186"/>
      <c r="BQ58" s="186"/>
      <c r="BR58" s="186"/>
      <c r="BS58" s="186"/>
      <c r="BT58" s="187"/>
      <c r="BU58" s="185"/>
      <c r="BV58" s="186"/>
      <c r="BW58" s="186"/>
      <c r="BX58" s="186"/>
      <c r="BY58" s="186"/>
      <c r="BZ58" s="187"/>
      <c r="CA58" s="185"/>
      <c r="CB58" s="186"/>
      <c r="CC58" s="186"/>
      <c r="CD58" s="186"/>
      <c r="CE58" s="186"/>
      <c r="CF58" s="187"/>
      <c r="CG58" s="185"/>
      <c r="CH58" s="186"/>
      <c r="CI58" s="186"/>
      <c r="CJ58" s="186"/>
      <c r="CK58" s="186"/>
      <c r="CL58" s="187"/>
      <c r="CM58" s="185"/>
      <c r="CN58" s="186"/>
      <c r="CO58" s="186"/>
      <c r="CP58" s="186"/>
      <c r="CQ58" s="186"/>
      <c r="CR58" s="187"/>
      <c r="CS58" s="185"/>
      <c r="CT58" s="186"/>
      <c r="CU58" s="186"/>
      <c r="CV58" s="186"/>
      <c r="CW58" s="186"/>
      <c r="CX58" s="187"/>
      <c r="CY58" s="51"/>
      <c r="CZ58" s="114"/>
      <c r="DA58" s="114"/>
      <c r="DB58" s="114"/>
      <c r="DC58" s="114"/>
      <c r="DD58" s="114"/>
      <c r="DE58" s="114"/>
      <c r="DF58" s="114"/>
    </row>
    <row r="59" spans="1:110" s="65" customFormat="1" ht="15.75" customHeight="1" x14ac:dyDescent="0.25">
      <c r="A59" s="51"/>
      <c r="B59" s="31">
        <v>4</v>
      </c>
      <c r="C59" s="30">
        <f t="shared" si="0"/>
        <v>0</v>
      </c>
      <c r="D59" s="39" t="str">
        <f t="shared" si="1"/>
        <v/>
      </c>
      <c r="E59" s="112" t="str">
        <f>IF('House of Quality 3'!$AE$74&lt;&gt;0, 'House of Quality 3'!$AE$74,"")</f>
        <v/>
      </c>
      <c r="F59" s="234" t="str">
        <f>IF('House of Quality 3'!$AE$49&lt;&gt;"", 'House of Quality 3'!$AE$49,"")</f>
        <v/>
      </c>
      <c r="G59" s="235"/>
      <c r="H59" s="235"/>
      <c r="I59" s="235"/>
      <c r="J59" s="235"/>
      <c r="K59" s="235"/>
      <c r="L59" s="236"/>
      <c r="M59" s="185"/>
      <c r="N59" s="186"/>
      <c r="O59" s="186"/>
      <c r="P59" s="186"/>
      <c r="Q59" s="186"/>
      <c r="R59" s="187"/>
      <c r="S59" s="185"/>
      <c r="T59" s="186"/>
      <c r="U59" s="186"/>
      <c r="V59" s="186"/>
      <c r="W59" s="186"/>
      <c r="X59" s="187"/>
      <c r="Y59" s="185"/>
      <c r="Z59" s="186"/>
      <c r="AA59" s="186"/>
      <c r="AB59" s="186"/>
      <c r="AC59" s="186"/>
      <c r="AD59" s="187"/>
      <c r="AE59" s="185"/>
      <c r="AF59" s="186"/>
      <c r="AG59" s="186"/>
      <c r="AH59" s="186"/>
      <c r="AI59" s="186"/>
      <c r="AJ59" s="187"/>
      <c r="AK59" s="185"/>
      <c r="AL59" s="186"/>
      <c r="AM59" s="186"/>
      <c r="AN59" s="186"/>
      <c r="AO59" s="186"/>
      <c r="AP59" s="187"/>
      <c r="AQ59" s="185"/>
      <c r="AR59" s="186"/>
      <c r="AS59" s="186"/>
      <c r="AT59" s="186"/>
      <c r="AU59" s="186"/>
      <c r="AV59" s="187"/>
      <c r="AW59" s="185"/>
      <c r="AX59" s="186"/>
      <c r="AY59" s="186"/>
      <c r="AZ59" s="186"/>
      <c r="BA59" s="186"/>
      <c r="BB59" s="187"/>
      <c r="BC59" s="185"/>
      <c r="BD59" s="186"/>
      <c r="BE59" s="186"/>
      <c r="BF59" s="186"/>
      <c r="BG59" s="186"/>
      <c r="BH59" s="187"/>
      <c r="BI59" s="185"/>
      <c r="BJ59" s="186"/>
      <c r="BK59" s="186"/>
      <c r="BL59" s="186"/>
      <c r="BM59" s="186"/>
      <c r="BN59" s="187"/>
      <c r="BO59" s="185"/>
      <c r="BP59" s="186"/>
      <c r="BQ59" s="186"/>
      <c r="BR59" s="186"/>
      <c r="BS59" s="186"/>
      <c r="BT59" s="187"/>
      <c r="BU59" s="185"/>
      <c r="BV59" s="186"/>
      <c r="BW59" s="186"/>
      <c r="BX59" s="186"/>
      <c r="BY59" s="186"/>
      <c r="BZ59" s="187"/>
      <c r="CA59" s="185"/>
      <c r="CB59" s="186"/>
      <c r="CC59" s="186"/>
      <c r="CD59" s="186"/>
      <c r="CE59" s="186"/>
      <c r="CF59" s="187"/>
      <c r="CG59" s="185"/>
      <c r="CH59" s="186"/>
      <c r="CI59" s="186"/>
      <c r="CJ59" s="186"/>
      <c r="CK59" s="186"/>
      <c r="CL59" s="187"/>
      <c r="CM59" s="185"/>
      <c r="CN59" s="186"/>
      <c r="CO59" s="186"/>
      <c r="CP59" s="186"/>
      <c r="CQ59" s="186"/>
      <c r="CR59" s="187"/>
      <c r="CS59" s="185"/>
      <c r="CT59" s="186"/>
      <c r="CU59" s="186"/>
      <c r="CV59" s="186"/>
      <c r="CW59" s="186"/>
      <c r="CX59" s="187"/>
      <c r="CY59" s="51"/>
      <c r="CZ59" s="114"/>
      <c r="DA59" s="114"/>
      <c r="DB59" s="114"/>
      <c r="DC59" s="114"/>
      <c r="DD59" s="114"/>
      <c r="DE59" s="114"/>
      <c r="DF59" s="114"/>
    </row>
    <row r="60" spans="1:110" s="65" customFormat="1" ht="15.75" customHeight="1" x14ac:dyDescent="0.25">
      <c r="A60" s="51"/>
      <c r="B60" s="31">
        <v>5</v>
      </c>
      <c r="C60" s="30">
        <f t="shared" si="0"/>
        <v>0</v>
      </c>
      <c r="D60" s="39" t="str">
        <f t="shared" si="1"/>
        <v/>
      </c>
      <c r="E60" s="112" t="str">
        <f>IF('House of Quality 3'!$AK$74&lt;&gt;0, 'House of Quality 3'!$AK$74,"")</f>
        <v/>
      </c>
      <c r="F60" s="234" t="str">
        <f>IF('House of Quality 3'!$AK$49&lt;&gt;"", 'House of Quality 3'!$AK$49,"")</f>
        <v/>
      </c>
      <c r="G60" s="235"/>
      <c r="H60" s="235"/>
      <c r="I60" s="235"/>
      <c r="J60" s="235"/>
      <c r="K60" s="235"/>
      <c r="L60" s="236"/>
      <c r="M60" s="185"/>
      <c r="N60" s="186"/>
      <c r="O60" s="186"/>
      <c r="P60" s="186"/>
      <c r="Q60" s="186"/>
      <c r="R60" s="187"/>
      <c r="S60" s="185"/>
      <c r="T60" s="186"/>
      <c r="U60" s="186"/>
      <c r="V60" s="186"/>
      <c r="W60" s="186"/>
      <c r="X60" s="187"/>
      <c r="Y60" s="185"/>
      <c r="Z60" s="186"/>
      <c r="AA60" s="186"/>
      <c r="AB60" s="186"/>
      <c r="AC60" s="186"/>
      <c r="AD60" s="187"/>
      <c r="AE60" s="185"/>
      <c r="AF60" s="186"/>
      <c r="AG60" s="186"/>
      <c r="AH60" s="186"/>
      <c r="AI60" s="186"/>
      <c r="AJ60" s="187"/>
      <c r="AK60" s="185"/>
      <c r="AL60" s="186"/>
      <c r="AM60" s="186"/>
      <c r="AN60" s="186"/>
      <c r="AO60" s="186"/>
      <c r="AP60" s="187"/>
      <c r="AQ60" s="185"/>
      <c r="AR60" s="186"/>
      <c r="AS60" s="186"/>
      <c r="AT60" s="186"/>
      <c r="AU60" s="186"/>
      <c r="AV60" s="187"/>
      <c r="AW60" s="185"/>
      <c r="AX60" s="186"/>
      <c r="AY60" s="186"/>
      <c r="AZ60" s="186"/>
      <c r="BA60" s="186"/>
      <c r="BB60" s="187"/>
      <c r="BC60" s="185"/>
      <c r="BD60" s="186"/>
      <c r="BE60" s="186"/>
      <c r="BF60" s="186"/>
      <c r="BG60" s="186"/>
      <c r="BH60" s="187"/>
      <c r="BI60" s="185"/>
      <c r="BJ60" s="186"/>
      <c r="BK60" s="186"/>
      <c r="BL60" s="186"/>
      <c r="BM60" s="186"/>
      <c r="BN60" s="187"/>
      <c r="BO60" s="185"/>
      <c r="BP60" s="186"/>
      <c r="BQ60" s="186"/>
      <c r="BR60" s="186"/>
      <c r="BS60" s="186"/>
      <c r="BT60" s="187"/>
      <c r="BU60" s="185"/>
      <c r="BV60" s="186"/>
      <c r="BW60" s="186"/>
      <c r="BX60" s="186"/>
      <c r="BY60" s="186"/>
      <c r="BZ60" s="187"/>
      <c r="CA60" s="185"/>
      <c r="CB60" s="186"/>
      <c r="CC60" s="186"/>
      <c r="CD60" s="186"/>
      <c r="CE60" s="186"/>
      <c r="CF60" s="187"/>
      <c r="CG60" s="185"/>
      <c r="CH60" s="186"/>
      <c r="CI60" s="186"/>
      <c r="CJ60" s="186"/>
      <c r="CK60" s="186"/>
      <c r="CL60" s="187"/>
      <c r="CM60" s="185"/>
      <c r="CN60" s="186"/>
      <c r="CO60" s="186"/>
      <c r="CP60" s="186"/>
      <c r="CQ60" s="186"/>
      <c r="CR60" s="187"/>
      <c r="CS60" s="185"/>
      <c r="CT60" s="186"/>
      <c r="CU60" s="186"/>
      <c r="CV60" s="186"/>
      <c r="CW60" s="186"/>
      <c r="CX60" s="187"/>
      <c r="CY60" s="51"/>
      <c r="CZ60" s="114"/>
      <c r="DA60" s="114"/>
      <c r="DB60" s="114"/>
      <c r="DC60" s="114"/>
      <c r="DD60" s="114"/>
      <c r="DE60" s="114"/>
      <c r="DF60" s="114"/>
    </row>
    <row r="61" spans="1:110" s="65" customFormat="1" ht="15.75" customHeight="1" x14ac:dyDescent="0.25">
      <c r="A61" s="51"/>
      <c r="B61" s="31">
        <v>6</v>
      </c>
      <c r="C61" s="30">
        <f t="shared" si="0"/>
        <v>0</v>
      </c>
      <c r="D61" s="39" t="str">
        <f t="shared" si="1"/>
        <v/>
      </c>
      <c r="E61" s="112" t="str">
        <f>IF('House of Quality 3'!$AQ$74&lt;&gt;0, 'House of Quality 3'!$AQ$74,"")</f>
        <v/>
      </c>
      <c r="F61" s="234" t="str">
        <f>IF('House of Quality 3'!$AQ$49&lt;&gt;"", 'House of Quality 3'!$AQ$49,"")</f>
        <v/>
      </c>
      <c r="G61" s="235"/>
      <c r="H61" s="235"/>
      <c r="I61" s="235"/>
      <c r="J61" s="235"/>
      <c r="K61" s="235"/>
      <c r="L61" s="236"/>
      <c r="M61" s="185"/>
      <c r="N61" s="186"/>
      <c r="O61" s="186"/>
      <c r="P61" s="186"/>
      <c r="Q61" s="186"/>
      <c r="R61" s="187"/>
      <c r="S61" s="185"/>
      <c r="T61" s="186"/>
      <c r="U61" s="186"/>
      <c r="V61" s="186"/>
      <c r="W61" s="186"/>
      <c r="X61" s="187"/>
      <c r="Y61" s="185"/>
      <c r="Z61" s="186"/>
      <c r="AA61" s="186"/>
      <c r="AB61" s="186"/>
      <c r="AC61" s="186"/>
      <c r="AD61" s="187"/>
      <c r="AE61" s="185"/>
      <c r="AF61" s="186"/>
      <c r="AG61" s="186"/>
      <c r="AH61" s="186"/>
      <c r="AI61" s="186"/>
      <c r="AJ61" s="187"/>
      <c r="AK61" s="185"/>
      <c r="AL61" s="186"/>
      <c r="AM61" s="186"/>
      <c r="AN61" s="186"/>
      <c r="AO61" s="186"/>
      <c r="AP61" s="187"/>
      <c r="AQ61" s="185"/>
      <c r="AR61" s="186"/>
      <c r="AS61" s="186"/>
      <c r="AT61" s="186"/>
      <c r="AU61" s="186"/>
      <c r="AV61" s="187"/>
      <c r="AW61" s="185"/>
      <c r="AX61" s="186"/>
      <c r="AY61" s="186"/>
      <c r="AZ61" s="186"/>
      <c r="BA61" s="186"/>
      <c r="BB61" s="187"/>
      <c r="BC61" s="185"/>
      <c r="BD61" s="186"/>
      <c r="BE61" s="186"/>
      <c r="BF61" s="186"/>
      <c r="BG61" s="186"/>
      <c r="BH61" s="187"/>
      <c r="BI61" s="185"/>
      <c r="BJ61" s="186"/>
      <c r="BK61" s="186"/>
      <c r="BL61" s="186"/>
      <c r="BM61" s="186"/>
      <c r="BN61" s="187"/>
      <c r="BO61" s="185"/>
      <c r="BP61" s="186"/>
      <c r="BQ61" s="186"/>
      <c r="BR61" s="186"/>
      <c r="BS61" s="186"/>
      <c r="BT61" s="187"/>
      <c r="BU61" s="185"/>
      <c r="BV61" s="186"/>
      <c r="BW61" s="186"/>
      <c r="BX61" s="186"/>
      <c r="BY61" s="186"/>
      <c r="BZ61" s="187"/>
      <c r="CA61" s="185"/>
      <c r="CB61" s="186"/>
      <c r="CC61" s="186"/>
      <c r="CD61" s="186"/>
      <c r="CE61" s="186"/>
      <c r="CF61" s="187"/>
      <c r="CG61" s="185"/>
      <c r="CH61" s="186"/>
      <c r="CI61" s="186"/>
      <c r="CJ61" s="186"/>
      <c r="CK61" s="186"/>
      <c r="CL61" s="187"/>
      <c r="CM61" s="185"/>
      <c r="CN61" s="186"/>
      <c r="CO61" s="186"/>
      <c r="CP61" s="186"/>
      <c r="CQ61" s="186"/>
      <c r="CR61" s="187"/>
      <c r="CS61" s="185"/>
      <c r="CT61" s="186"/>
      <c r="CU61" s="186"/>
      <c r="CV61" s="186"/>
      <c r="CW61" s="186"/>
      <c r="CX61" s="187"/>
      <c r="CY61" s="51"/>
      <c r="CZ61" s="114"/>
      <c r="DA61" s="114"/>
      <c r="DB61" s="114"/>
      <c r="DC61" s="114"/>
      <c r="DD61" s="114"/>
      <c r="DE61" s="114"/>
      <c r="DF61" s="114"/>
    </row>
    <row r="62" spans="1:110" s="65" customFormat="1" ht="15.75" customHeight="1" x14ac:dyDescent="0.25">
      <c r="A62" s="51"/>
      <c r="B62" s="31">
        <v>7</v>
      </c>
      <c r="C62" s="30">
        <f t="shared" si="0"/>
        <v>0</v>
      </c>
      <c r="D62" s="39" t="str">
        <f t="shared" si="1"/>
        <v/>
      </c>
      <c r="E62" s="112" t="str">
        <f>IF('House of Quality 3'!$AW$74&lt;&gt;0, 'House of Quality 3'!$AW$74,"")</f>
        <v/>
      </c>
      <c r="F62" s="234" t="str">
        <f>IF('House of Quality 3'!$AW$49&lt;&gt;"", 'House of Quality 3'!$AW$49,"")</f>
        <v/>
      </c>
      <c r="G62" s="235"/>
      <c r="H62" s="235"/>
      <c r="I62" s="235"/>
      <c r="J62" s="235"/>
      <c r="K62" s="235"/>
      <c r="L62" s="236"/>
      <c r="M62" s="185"/>
      <c r="N62" s="186"/>
      <c r="O62" s="186"/>
      <c r="P62" s="186"/>
      <c r="Q62" s="186"/>
      <c r="R62" s="187"/>
      <c r="S62" s="185"/>
      <c r="T62" s="186"/>
      <c r="U62" s="186"/>
      <c r="V62" s="186"/>
      <c r="W62" s="186"/>
      <c r="X62" s="187"/>
      <c r="Y62" s="185"/>
      <c r="Z62" s="186"/>
      <c r="AA62" s="186"/>
      <c r="AB62" s="186"/>
      <c r="AC62" s="186"/>
      <c r="AD62" s="187"/>
      <c r="AE62" s="185"/>
      <c r="AF62" s="186"/>
      <c r="AG62" s="186"/>
      <c r="AH62" s="186"/>
      <c r="AI62" s="186"/>
      <c r="AJ62" s="187"/>
      <c r="AK62" s="185"/>
      <c r="AL62" s="186"/>
      <c r="AM62" s="186"/>
      <c r="AN62" s="186"/>
      <c r="AO62" s="186"/>
      <c r="AP62" s="187"/>
      <c r="AQ62" s="185"/>
      <c r="AR62" s="186"/>
      <c r="AS62" s="186"/>
      <c r="AT62" s="186"/>
      <c r="AU62" s="186"/>
      <c r="AV62" s="187"/>
      <c r="AW62" s="185"/>
      <c r="AX62" s="186"/>
      <c r="AY62" s="186"/>
      <c r="AZ62" s="186"/>
      <c r="BA62" s="186"/>
      <c r="BB62" s="187"/>
      <c r="BC62" s="185"/>
      <c r="BD62" s="186"/>
      <c r="BE62" s="186"/>
      <c r="BF62" s="186"/>
      <c r="BG62" s="186"/>
      <c r="BH62" s="187"/>
      <c r="BI62" s="185"/>
      <c r="BJ62" s="186"/>
      <c r="BK62" s="186"/>
      <c r="BL62" s="186"/>
      <c r="BM62" s="186"/>
      <c r="BN62" s="187"/>
      <c r="BO62" s="185"/>
      <c r="BP62" s="186"/>
      <c r="BQ62" s="186"/>
      <c r="BR62" s="186"/>
      <c r="BS62" s="186"/>
      <c r="BT62" s="187"/>
      <c r="BU62" s="185"/>
      <c r="BV62" s="186"/>
      <c r="BW62" s="186"/>
      <c r="BX62" s="186"/>
      <c r="BY62" s="186"/>
      <c r="BZ62" s="187"/>
      <c r="CA62" s="185"/>
      <c r="CB62" s="186"/>
      <c r="CC62" s="186"/>
      <c r="CD62" s="186"/>
      <c r="CE62" s="186"/>
      <c r="CF62" s="187"/>
      <c r="CG62" s="185"/>
      <c r="CH62" s="186"/>
      <c r="CI62" s="186"/>
      <c r="CJ62" s="186"/>
      <c r="CK62" s="186"/>
      <c r="CL62" s="187"/>
      <c r="CM62" s="185"/>
      <c r="CN62" s="186"/>
      <c r="CO62" s="186"/>
      <c r="CP62" s="186"/>
      <c r="CQ62" s="186"/>
      <c r="CR62" s="187"/>
      <c r="CS62" s="185"/>
      <c r="CT62" s="186"/>
      <c r="CU62" s="186"/>
      <c r="CV62" s="186"/>
      <c r="CW62" s="186"/>
      <c r="CX62" s="187"/>
      <c r="CY62" s="51"/>
      <c r="CZ62" s="114"/>
      <c r="DA62" s="114"/>
      <c r="DB62" s="114"/>
      <c r="DC62" s="114"/>
      <c r="DD62" s="114"/>
      <c r="DE62" s="114"/>
      <c r="DF62" s="114"/>
    </row>
    <row r="63" spans="1:110" s="65" customFormat="1" ht="15.75" customHeight="1" x14ac:dyDescent="0.25">
      <c r="A63" s="51"/>
      <c r="B63" s="31">
        <v>8</v>
      </c>
      <c r="C63" s="30">
        <f t="shared" si="0"/>
        <v>0</v>
      </c>
      <c r="D63" s="39" t="str">
        <f t="shared" si="1"/>
        <v/>
      </c>
      <c r="E63" s="112" t="str">
        <f>IF('House of Quality 3'!$BC$74&lt;&gt;0, 'House of Quality 3'!$BC$74,"")</f>
        <v/>
      </c>
      <c r="F63" s="234" t="str">
        <f>IF('House of Quality 3'!$BC$49&lt;&gt;"", 'House of Quality 3'!$BC$49,"")</f>
        <v/>
      </c>
      <c r="G63" s="235"/>
      <c r="H63" s="235"/>
      <c r="I63" s="235"/>
      <c r="J63" s="235"/>
      <c r="K63" s="235"/>
      <c r="L63" s="236"/>
      <c r="M63" s="185"/>
      <c r="N63" s="186"/>
      <c r="O63" s="186"/>
      <c r="P63" s="186"/>
      <c r="Q63" s="186"/>
      <c r="R63" s="187"/>
      <c r="S63" s="185"/>
      <c r="T63" s="186"/>
      <c r="U63" s="186"/>
      <c r="V63" s="186"/>
      <c r="W63" s="186"/>
      <c r="X63" s="187"/>
      <c r="Y63" s="185"/>
      <c r="Z63" s="186"/>
      <c r="AA63" s="186"/>
      <c r="AB63" s="186"/>
      <c r="AC63" s="186"/>
      <c r="AD63" s="187"/>
      <c r="AE63" s="185"/>
      <c r="AF63" s="186"/>
      <c r="AG63" s="186"/>
      <c r="AH63" s="186"/>
      <c r="AI63" s="186"/>
      <c r="AJ63" s="187"/>
      <c r="AK63" s="185"/>
      <c r="AL63" s="186"/>
      <c r="AM63" s="186"/>
      <c r="AN63" s="186"/>
      <c r="AO63" s="186"/>
      <c r="AP63" s="187"/>
      <c r="AQ63" s="185"/>
      <c r="AR63" s="186"/>
      <c r="AS63" s="186"/>
      <c r="AT63" s="186"/>
      <c r="AU63" s="186"/>
      <c r="AV63" s="187"/>
      <c r="AW63" s="185"/>
      <c r="AX63" s="186"/>
      <c r="AY63" s="186"/>
      <c r="AZ63" s="186"/>
      <c r="BA63" s="186"/>
      <c r="BB63" s="187"/>
      <c r="BC63" s="185"/>
      <c r="BD63" s="186"/>
      <c r="BE63" s="186"/>
      <c r="BF63" s="186"/>
      <c r="BG63" s="186"/>
      <c r="BH63" s="187"/>
      <c r="BI63" s="185"/>
      <c r="BJ63" s="186"/>
      <c r="BK63" s="186"/>
      <c r="BL63" s="186"/>
      <c r="BM63" s="186"/>
      <c r="BN63" s="187"/>
      <c r="BO63" s="185"/>
      <c r="BP63" s="186"/>
      <c r="BQ63" s="186"/>
      <c r="BR63" s="186"/>
      <c r="BS63" s="186"/>
      <c r="BT63" s="187"/>
      <c r="BU63" s="185"/>
      <c r="BV63" s="186"/>
      <c r="BW63" s="186"/>
      <c r="BX63" s="186"/>
      <c r="BY63" s="186"/>
      <c r="BZ63" s="187"/>
      <c r="CA63" s="185"/>
      <c r="CB63" s="186"/>
      <c r="CC63" s="186"/>
      <c r="CD63" s="186"/>
      <c r="CE63" s="186"/>
      <c r="CF63" s="187"/>
      <c r="CG63" s="185"/>
      <c r="CH63" s="186"/>
      <c r="CI63" s="186"/>
      <c r="CJ63" s="186"/>
      <c r="CK63" s="186"/>
      <c r="CL63" s="187"/>
      <c r="CM63" s="185"/>
      <c r="CN63" s="186"/>
      <c r="CO63" s="186"/>
      <c r="CP63" s="186"/>
      <c r="CQ63" s="186"/>
      <c r="CR63" s="187"/>
      <c r="CS63" s="185"/>
      <c r="CT63" s="186"/>
      <c r="CU63" s="186"/>
      <c r="CV63" s="186"/>
      <c r="CW63" s="186"/>
      <c r="CX63" s="187"/>
      <c r="CY63" s="51"/>
      <c r="CZ63" s="114"/>
      <c r="DA63" s="114"/>
      <c r="DB63" s="114"/>
      <c r="DC63" s="114"/>
      <c r="DD63" s="114"/>
      <c r="DE63" s="114"/>
      <c r="DF63" s="114"/>
    </row>
    <row r="64" spans="1:110" s="65" customFormat="1" ht="15.75" customHeight="1" x14ac:dyDescent="0.25">
      <c r="A64" s="51"/>
      <c r="B64" s="31">
        <v>9</v>
      </c>
      <c r="C64" s="30">
        <f t="shared" si="0"/>
        <v>0</v>
      </c>
      <c r="D64" s="39" t="str">
        <f t="shared" si="1"/>
        <v/>
      </c>
      <c r="E64" s="112" t="str">
        <f>IF('House of Quality 3'!$BI$74&lt;&gt;0, 'House of Quality 3'!$BI$74,"")</f>
        <v/>
      </c>
      <c r="F64" s="234" t="str">
        <f>IF('House of Quality 3'!$BI$49&lt;&gt;"", 'House of Quality 3'!$BI$49,"")</f>
        <v/>
      </c>
      <c r="G64" s="235"/>
      <c r="H64" s="235"/>
      <c r="I64" s="235"/>
      <c r="J64" s="235"/>
      <c r="K64" s="235"/>
      <c r="L64" s="236"/>
      <c r="M64" s="185"/>
      <c r="N64" s="186"/>
      <c r="O64" s="186"/>
      <c r="P64" s="186"/>
      <c r="Q64" s="186"/>
      <c r="R64" s="187"/>
      <c r="S64" s="185"/>
      <c r="T64" s="186"/>
      <c r="U64" s="186"/>
      <c r="V64" s="186"/>
      <c r="W64" s="186"/>
      <c r="X64" s="187"/>
      <c r="Y64" s="185"/>
      <c r="Z64" s="186"/>
      <c r="AA64" s="186"/>
      <c r="AB64" s="186"/>
      <c r="AC64" s="186"/>
      <c r="AD64" s="187"/>
      <c r="AE64" s="185"/>
      <c r="AF64" s="186"/>
      <c r="AG64" s="186"/>
      <c r="AH64" s="186"/>
      <c r="AI64" s="186"/>
      <c r="AJ64" s="187"/>
      <c r="AK64" s="185"/>
      <c r="AL64" s="186"/>
      <c r="AM64" s="186"/>
      <c r="AN64" s="186"/>
      <c r="AO64" s="186"/>
      <c r="AP64" s="187"/>
      <c r="AQ64" s="185"/>
      <c r="AR64" s="186"/>
      <c r="AS64" s="186"/>
      <c r="AT64" s="186"/>
      <c r="AU64" s="186"/>
      <c r="AV64" s="187"/>
      <c r="AW64" s="185"/>
      <c r="AX64" s="186"/>
      <c r="AY64" s="186"/>
      <c r="AZ64" s="186"/>
      <c r="BA64" s="186"/>
      <c r="BB64" s="187"/>
      <c r="BC64" s="185"/>
      <c r="BD64" s="186"/>
      <c r="BE64" s="186"/>
      <c r="BF64" s="186"/>
      <c r="BG64" s="186"/>
      <c r="BH64" s="187"/>
      <c r="BI64" s="185"/>
      <c r="BJ64" s="186"/>
      <c r="BK64" s="186"/>
      <c r="BL64" s="186"/>
      <c r="BM64" s="186"/>
      <c r="BN64" s="187"/>
      <c r="BO64" s="185"/>
      <c r="BP64" s="186"/>
      <c r="BQ64" s="186"/>
      <c r="BR64" s="186"/>
      <c r="BS64" s="186"/>
      <c r="BT64" s="187"/>
      <c r="BU64" s="185"/>
      <c r="BV64" s="186"/>
      <c r="BW64" s="186"/>
      <c r="BX64" s="186"/>
      <c r="BY64" s="186"/>
      <c r="BZ64" s="187"/>
      <c r="CA64" s="185"/>
      <c r="CB64" s="186"/>
      <c r="CC64" s="186"/>
      <c r="CD64" s="186"/>
      <c r="CE64" s="186"/>
      <c r="CF64" s="187"/>
      <c r="CG64" s="185"/>
      <c r="CH64" s="186"/>
      <c r="CI64" s="186"/>
      <c r="CJ64" s="186"/>
      <c r="CK64" s="186"/>
      <c r="CL64" s="187"/>
      <c r="CM64" s="185"/>
      <c r="CN64" s="186"/>
      <c r="CO64" s="186"/>
      <c r="CP64" s="186"/>
      <c r="CQ64" s="186"/>
      <c r="CR64" s="187"/>
      <c r="CS64" s="185"/>
      <c r="CT64" s="186"/>
      <c r="CU64" s="186"/>
      <c r="CV64" s="186"/>
      <c r="CW64" s="186"/>
      <c r="CX64" s="187"/>
      <c r="CY64" s="51"/>
      <c r="CZ64" s="114"/>
      <c r="DA64" s="114"/>
      <c r="DB64" s="114"/>
      <c r="DC64" s="114"/>
      <c r="DD64" s="114"/>
      <c r="DE64" s="114"/>
      <c r="DF64" s="114"/>
    </row>
    <row r="65" spans="1:113" s="65" customFormat="1" ht="15.75" customHeight="1" x14ac:dyDescent="0.25">
      <c r="A65" s="51"/>
      <c r="B65" s="31">
        <v>10</v>
      </c>
      <c r="C65" s="30">
        <f t="shared" si="0"/>
        <v>0</v>
      </c>
      <c r="D65" s="39" t="str">
        <f t="shared" si="1"/>
        <v/>
      </c>
      <c r="E65" s="112" t="str">
        <f>IF('House of Quality 3'!$BO$74&lt;&gt;0, 'House of Quality 3'!$BO$74,"")</f>
        <v/>
      </c>
      <c r="F65" s="234" t="str">
        <f>IF('House of Quality 3'!$BO$49&lt;&gt;"", 'House of Quality 3'!$BO$49,"")</f>
        <v/>
      </c>
      <c r="G65" s="235"/>
      <c r="H65" s="235"/>
      <c r="I65" s="235"/>
      <c r="J65" s="235"/>
      <c r="K65" s="235"/>
      <c r="L65" s="236"/>
      <c r="M65" s="185"/>
      <c r="N65" s="186"/>
      <c r="O65" s="186"/>
      <c r="P65" s="186"/>
      <c r="Q65" s="186"/>
      <c r="R65" s="187"/>
      <c r="S65" s="185"/>
      <c r="T65" s="186"/>
      <c r="U65" s="186"/>
      <c r="V65" s="186"/>
      <c r="W65" s="186"/>
      <c r="X65" s="187"/>
      <c r="Y65" s="185"/>
      <c r="Z65" s="186"/>
      <c r="AA65" s="186"/>
      <c r="AB65" s="186"/>
      <c r="AC65" s="186"/>
      <c r="AD65" s="187"/>
      <c r="AE65" s="185"/>
      <c r="AF65" s="186"/>
      <c r="AG65" s="186"/>
      <c r="AH65" s="186"/>
      <c r="AI65" s="186"/>
      <c r="AJ65" s="187"/>
      <c r="AK65" s="185"/>
      <c r="AL65" s="186"/>
      <c r="AM65" s="186"/>
      <c r="AN65" s="186"/>
      <c r="AO65" s="186"/>
      <c r="AP65" s="187"/>
      <c r="AQ65" s="185"/>
      <c r="AR65" s="186"/>
      <c r="AS65" s="186"/>
      <c r="AT65" s="186"/>
      <c r="AU65" s="186"/>
      <c r="AV65" s="187"/>
      <c r="AW65" s="185"/>
      <c r="AX65" s="186"/>
      <c r="AY65" s="186"/>
      <c r="AZ65" s="186"/>
      <c r="BA65" s="186"/>
      <c r="BB65" s="187"/>
      <c r="BC65" s="185"/>
      <c r="BD65" s="186"/>
      <c r="BE65" s="186"/>
      <c r="BF65" s="186"/>
      <c r="BG65" s="186"/>
      <c r="BH65" s="187"/>
      <c r="BI65" s="185"/>
      <c r="BJ65" s="186"/>
      <c r="BK65" s="186"/>
      <c r="BL65" s="186"/>
      <c r="BM65" s="186"/>
      <c r="BN65" s="187"/>
      <c r="BO65" s="185"/>
      <c r="BP65" s="186"/>
      <c r="BQ65" s="186"/>
      <c r="BR65" s="186"/>
      <c r="BS65" s="186"/>
      <c r="BT65" s="187"/>
      <c r="BU65" s="185"/>
      <c r="BV65" s="186"/>
      <c r="BW65" s="186"/>
      <c r="BX65" s="186"/>
      <c r="BY65" s="186"/>
      <c r="BZ65" s="187"/>
      <c r="CA65" s="185"/>
      <c r="CB65" s="186"/>
      <c r="CC65" s="186"/>
      <c r="CD65" s="186"/>
      <c r="CE65" s="186"/>
      <c r="CF65" s="187"/>
      <c r="CG65" s="185"/>
      <c r="CH65" s="186"/>
      <c r="CI65" s="186"/>
      <c r="CJ65" s="186"/>
      <c r="CK65" s="186"/>
      <c r="CL65" s="187"/>
      <c r="CM65" s="185"/>
      <c r="CN65" s="186"/>
      <c r="CO65" s="186"/>
      <c r="CP65" s="186"/>
      <c r="CQ65" s="186"/>
      <c r="CR65" s="187"/>
      <c r="CS65" s="185"/>
      <c r="CT65" s="186"/>
      <c r="CU65" s="186"/>
      <c r="CV65" s="186"/>
      <c r="CW65" s="186"/>
      <c r="CX65" s="187"/>
      <c r="CY65" s="51"/>
      <c r="CZ65" s="114"/>
      <c r="DA65" s="114"/>
      <c r="DB65" s="114"/>
      <c r="DC65" s="114"/>
      <c r="DD65" s="114"/>
      <c r="DE65" s="114"/>
      <c r="DF65" s="114"/>
    </row>
    <row r="66" spans="1:113" s="65" customFormat="1" ht="15.75" customHeight="1" x14ac:dyDescent="0.25">
      <c r="A66" s="51"/>
      <c r="B66" s="31">
        <v>11</v>
      </c>
      <c r="C66" s="30">
        <f t="shared" si="0"/>
        <v>0</v>
      </c>
      <c r="D66" s="39" t="str">
        <f t="shared" si="1"/>
        <v/>
      </c>
      <c r="E66" s="112" t="str">
        <f>IF('House of Quality 3'!$BU$74&lt;&gt;0, 'House of Quality 3'!$BU$74,"")</f>
        <v/>
      </c>
      <c r="F66" s="234" t="str">
        <f>IF('House of Quality 3'!$BU$49&lt;&gt;"", 'House of Quality 3'!$BU$49,"")</f>
        <v/>
      </c>
      <c r="G66" s="235"/>
      <c r="H66" s="235"/>
      <c r="I66" s="235"/>
      <c r="J66" s="235"/>
      <c r="K66" s="235"/>
      <c r="L66" s="236"/>
      <c r="M66" s="185"/>
      <c r="N66" s="186"/>
      <c r="O66" s="186"/>
      <c r="P66" s="186"/>
      <c r="Q66" s="186"/>
      <c r="R66" s="187"/>
      <c r="S66" s="185"/>
      <c r="T66" s="186"/>
      <c r="U66" s="186"/>
      <c r="V66" s="186"/>
      <c r="W66" s="186"/>
      <c r="X66" s="187"/>
      <c r="Y66" s="185"/>
      <c r="Z66" s="186"/>
      <c r="AA66" s="186"/>
      <c r="AB66" s="186"/>
      <c r="AC66" s="186"/>
      <c r="AD66" s="187"/>
      <c r="AE66" s="185"/>
      <c r="AF66" s="186"/>
      <c r="AG66" s="186"/>
      <c r="AH66" s="186"/>
      <c r="AI66" s="186"/>
      <c r="AJ66" s="187"/>
      <c r="AK66" s="185"/>
      <c r="AL66" s="186"/>
      <c r="AM66" s="186"/>
      <c r="AN66" s="186"/>
      <c r="AO66" s="186"/>
      <c r="AP66" s="187"/>
      <c r="AQ66" s="185"/>
      <c r="AR66" s="186"/>
      <c r="AS66" s="186"/>
      <c r="AT66" s="186"/>
      <c r="AU66" s="186"/>
      <c r="AV66" s="187"/>
      <c r="AW66" s="185"/>
      <c r="AX66" s="186"/>
      <c r="AY66" s="186"/>
      <c r="AZ66" s="186"/>
      <c r="BA66" s="186"/>
      <c r="BB66" s="187"/>
      <c r="BC66" s="185"/>
      <c r="BD66" s="186"/>
      <c r="BE66" s="186"/>
      <c r="BF66" s="186"/>
      <c r="BG66" s="186"/>
      <c r="BH66" s="187"/>
      <c r="BI66" s="185"/>
      <c r="BJ66" s="186"/>
      <c r="BK66" s="186"/>
      <c r="BL66" s="186"/>
      <c r="BM66" s="186"/>
      <c r="BN66" s="187"/>
      <c r="BO66" s="185"/>
      <c r="BP66" s="186"/>
      <c r="BQ66" s="186"/>
      <c r="BR66" s="186"/>
      <c r="BS66" s="186"/>
      <c r="BT66" s="187"/>
      <c r="BU66" s="185"/>
      <c r="BV66" s="186"/>
      <c r="BW66" s="186"/>
      <c r="BX66" s="186"/>
      <c r="BY66" s="186"/>
      <c r="BZ66" s="187"/>
      <c r="CA66" s="185"/>
      <c r="CB66" s="186"/>
      <c r="CC66" s="186"/>
      <c r="CD66" s="186"/>
      <c r="CE66" s="186"/>
      <c r="CF66" s="187"/>
      <c r="CG66" s="185"/>
      <c r="CH66" s="186"/>
      <c r="CI66" s="186"/>
      <c r="CJ66" s="186"/>
      <c r="CK66" s="186"/>
      <c r="CL66" s="187"/>
      <c r="CM66" s="185"/>
      <c r="CN66" s="186"/>
      <c r="CO66" s="186"/>
      <c r="CP66" s="186"/>
      <c r="CQ66" s="186"/>
      <c r="CR66" s="187"/>
      <c r="CS66" s="212"/>
      <c r="CT66" s="212"/>
      <c r="CU66" s="212"/>
      <c r="CV66" s="212"/>
      <c r="CW66" s="212"/>
      <c r="CX66" s="212"/>
      <c r="CY66" s="51"/>
      <c r="CZ66" s="114"/>
      <c r="DA66" s="114"/>
      <c r="DB66" s="114"/>
      <c r="DC66" s="114"/>
      <c r="DD66" s="114"/>
      <c r="DE66" s="114"/>
      <c r="DF66" s="114"/>
    </row>
    <row r="67" spans="1:113" s="65" customFormat="1" ht="15.75" customHeight="1" x14ac:dyDescent="0.25">
      <c r="A67" s="51"/>
      <c r="B67" s="31">
        <v>12</v>
      </c>
      <c r="C67" s="30">
        <f t="shared" si="0"/>
        <v>0</v>
      </c>
      <c r="D67" s="39" t="str">
        <f t="shared" si="1"/>
        <v/>
      </c>
      <c r="E67" s="112" t="str">
        <f>IF('House of Quality 3'!$CA$74&lt;&gt;0, 'House of Quality 3'!$CA$74,"")</f>
        <v/>
      </c>
      <c r="F67" s="234" t="str">
        <f>IF('House of Quality 3'!$CA$49&lt;&gt;"", 'House of Quality 3'!$CA$49,"")</f>
        <v/>
      </c>
      <c r="G67" s="235"/>
      <c r="H67" s="235"/>
      <c r="I67" s="235"/>
      <c r="J67" s="235"/>
      <c r="K67" s="235"/>
      <c r="L67" s="236"/>
      <c r="M67" s="185"/>
      <c r="N67" s="186"/>
      <c r="O67" s="186"/>
      <c r="P67" s="186"/>
      <c r="Q67" s="186"/>
      <c r="R67" s="187"/>
      <c r="S67" s="185"/>
      <c r="T67" s="186"/>
      <c r="U67" s="186"/>
      <c r="V67" s="186"/>
      <c r="W67" s="186"/>
      <c r="X67" s="187"/>
      <c r="Y67" s="185"/>
      <c r="Z67" s="186"/>
      <c r="AA67" s="186"/>
      <c r="AB67" s="186"/>
      <c r="AC67" s="186"/>
      <c r="AD67" s="187"/>
      <c r="AE67" s="185"/>
      <c r="AF67" s="186"/>
      <c r="AG67" s="186"/>
      <c r="AH67" s="186"/>
      <c r="AI67" s="186"/>
      <c r="AJ67" s="187"/>
      <c r="AK67" s="185"/>
      <c r="AL67" s="186"/>
      <c r="AM67" s="186"/>
      <c r="AN67" s="186"/>
      <c r="AO67" s="186"/>
      <c r="AP67" s="187"/>
      <c r="AQ67" s="185"/>
      <c r="AR67" s="186"/>
      <c r="AS67" s="186"/>
      <c r="AT67" s="186"/>
      <c r="AU67" s="186"/>
      <c r="AV67" s="187"/>
      <c r="AW67" s="185"/>
      <c r="AX67" s="186"/>
      <c r="AY67" s="186"/>
      <c r="AZ67" s="186"/>
      <c r="BA67" s="186"/>
      <c r="BB67" s="187"/>
      <c r="BC67" s="185"/>
      <c r="BD67" s="186"/>
      <c r="BE67" s="186"/>
      <c r="BF67" s="186"/>
      <c r="BG67" s="186"/>
      <c r="BH67" s="187"/>
      <c r="BI67" s="185"/>
      <c r="BJ67" s="186"/>
      <c r="BK67" s="186"/>
      <c r="BL67" s="186"/>
      <c r="BM67" s="186"/>
      <c r="BN67" s="187"/>
      <c r="BO67" s="185"/>
      <c r="BP67" s="186"/>
      <c r="BQ67" s="186"/>
      <c r="BR67" s="186"/>
      <c r="BS67" s="186"/>
      <c r="BT67" s="187"/>
      <c r="BU67" s="185"/>
      <c r="BV67" s="186"/>
      <c r="BW67" s="186"/>
      <c r="BX67" s="186"/>
      <c r="BY67" s="186"/>
      <c r="BZ67" s="187"/>
      <c r="CA67" s="185"/>
      <c r="CB67" s="186"/>
      <c r="CC67" s="186"/>
      <c r="CD67" s="186"/>
      <c r="CE67" s="186"/>
      <c r="CF67" s="187"/>
      <c r="CG67" s="185"/>
      <c r="CH67" s="186"/>
      <c r="CI67" s="186"/>
      <c r="CJ67" s="186"/>
      <c r="CK67" s="186"/>
      <c r="CL67" s="187"/>
      <c r="CM67" s="185"/>
      <c r="CN67" s="186"/>
      <c r="CO67" s="186"/>
      <c r="CP67" s="186"/>
      <c r="CQ67" s="186"/>
      <c r="CR67" s="187"/>
      <c r="CS67" s="185"/>
      <c r="CT67" s="186"/>
      <c r="CU67" s="186"/>
      <c r="CV67" s="186"/>
      <c r="CW67" s="186"/>
      <c r="CX67" s="187"/>
      <c r="CY67" s="51"/>
      <c r="CZ67" s="114"/>
      <c r="DA67" s="114"/>
      <c r="DB67" s="114"/>
      <c r="DC67" s="114"/>
      <c r="DD67" s="114"/>
      <c r="DE67" s="114"/>
      <c r="DF67" s="114"/>
    </row>
    <row r="68" spans="1:113" s="65" customFormat="1" ht="15.75" customHeight="1" x14ac:dyDescent="0.25">
      <c r="A68" s="51"/>
      <c r="B68" s="31">
        <v>13</v>
      </c>
      <c r="C68" s="30">
        <f t="shared" si="0"/>
        <v>0</v>
      </c>
      <c r="D68" s="39" t="str">
        <f t="shared" si="1"/>
        <v/>
      </c>
      <c r="E68" s="112" t="str">
        <f>IF('House of Quality 3'!$CG$74&lt;&gt;0, 'House of Quality 3'!$CG$74,"")</f>
        <v/>
      </c>
      <c r="F68" s="234" t="str">
        <f>IF('House of Quality 3'!$CG$49&lt;&gt;"", 'House of Quality 3'!$CG$49,"")</f>
        <v/>
      </c>
      <c r="G68" s="235"/>
      <c r="H68" s="235"/>
      <c r="I68" s="235"/>
      <c r="J68" s="235"/>
      <c r="K68" s="235"/>
      <c r="L68" s="236"/>
      <c r="M68" s="185"/>
      <c r="N68" s="186"/>
      <c r="O68" s="186"/>
      <c r="P68" s="186"/>
      <c r="Q68" s="186"/>
      <c r="R68" s="187"/>
      <c r="S68" s="185"/>
      <c r="T68" s="186"/>
      <c r="U68" s="186"/>
      <c r="V68" s="186"/>
      <c r="W68" s="186"/>
      <c r="X68" s="187"/>
      <c r="Y68" s="185"/>
      <c r="Z68" s="186"/>
      <c r="AA68" s="186"/>
      <c r="AB68" s="186"/>
      <c r="AC68" s="186"/>
      <c r="AD68" s="187"/>
      <c r="AE68" s="185"/>
      <c r="AF68" s="186"/>
      <c r="AG68" s="186"/>
      <c r="AH68" s="186"/>
      <c r="AI68" s="186"/>
      <c r="AJ68" s="187"/>
      <c r="AK68" s="185"/>
      <c r="AL68" s="186"/>
      <c r="AM68" s="186"/>
      <c r="AN68" s="186"/>
      <c r="AO68" s="186"/>
      <c r="AP68" s="187"/>
      <c r="AQ68" s="185"/>
      <c r="AR68" s="186"/>
      <c r="AS68" s="186"/>
      <c r="AT68" s="186"/>
      <c r="AU68" s="186"/>
      <c r="AV68" s="187"/>
      <c r="AW68" s="185"/>
      <c r="AX68" s="186"/>
      <c r="AY68" s="186"/>
      <c r="AZ68" s="186"/>
      <c r="BA68" s="186"/>
      <c r="BB68" s="187"/>
      <c r="BC68" s="185"/>
      <c r="BD68" s="186"/>
      <c r="BE68" s="186"/>
      <c r="BF68" s="186"/>
      <c r="BG68" s="186"/>
      <c r="BH68" s="187"/>
      <c r="BI68" s="185"/>
      <c r="BJ68" s="186"/>
      <c r="BK68" s="186"/>
      <c r="BL68" s="186"/>
      <c r="BM68" s="186"/>
      <c r="BN68" s="187"/>
      <c r="BO68" s="185"/>
      <c r="BP68" s="186"/>
      <c r="BQ68" s="186"/>
      <c r="BR68" s="186"/>
      <c r="BS68" s="186"/>
      <c r="BT68" s="187"/>
      <c r="BU68" s="185"/>
      <c r="BV68" s="186"/>
      <c r="BW68" s="186"/>
      <c r="BX68" s="186"/>
      <c r="BY68" s="186"/>
      <c r="BZ68" s="187"/>
      <c r="CA68" s="185"/>
      <c r="CB68" s="186"/>
      <c r="CC68" s="186"/>
      <c r="CD68" s="186"/>
      <c r="CE68" s="186"/>
      <c r="CF68" s="187"/>
      <c r="CG68" s="185"/>
      <c r="CH68" s="186"/>
      <c r="CI68" s="186"/>
      <c r="CJ68" s="186"/>
      <c r="CK68" s="186"/>
      <c r="CL68" s="187"/>
      <c r="CM68" s="185"/>
      <c r="CN68" s="186"/>
      <c r="CO68" s="186"/>
      <c r="CP68" s="186"/>
      <c r="CQ68" s="186"/>
      <c r="CR68" s="187"/>
      <c r="CS68" s="185"/>
      <c r="CT68" s="186"/>
      <c r="CU68" s="186"/>
      <c r="CV68" s="186"/>
      <c r="CW68" s="186"/>
      <c r="CX68" s="187"/>
      <c r="CY68" s="51"/>
      <c r="CZ68" s="114"/>
      <c r="DA68" s="114"/>
      <c r="DB68" s="114"/>
      <c r="DC68" s="114"/>
      <c r="DD68" s="114"/>
      <c r="DE68" s="114"/>
      <c r="DF68" s="114"/>
    </row>
    <row r="69" spans="1:113" s="65" customFormat="1" ht="15.75" customHeight="1" x14ac:dyDescent="0.25">
      <c r="A69" s="51"/>
      <c r="B69" s="31">
        <v>14</v>
      </c>
      <c r="C69" s="30">
        <f t="shared" si="0"/>
        <v>0</v>
      </c>
      <c r="D69" s="39" t="str">
        <f t="shared" si="1"/>
        <v/>
      </c>
      <c r="E69" s="112" t="str">
        <f>IF('House of Quality 3'!$CM$74&lt;&gt;0, 'House of Quality 3'!$CM$74,"")</f>
        <v/>
      </c>
      <c r="F69" s="234" t="str">
        <f>IF('House of Quality 3'!$CM$49&lt;&gt;"", 'House of Quality 3'!$CM$49,"")</f>
        <v/>
      </c>
      <c r="G69" s="235"/>
      <c r="H69" s="235"/>
      <c r="I69" s="235"/>
      <c r="J69" s="235"/>
      <c r="K69" s="235"/>
      <c r="L69" s="236"/>
      <c r="M69" s="185"/>
      <c r="N69" s="186"/>
      <c r="O69" s="186"/>
      <c r="P69" s="186"/>
      <c r="Q69" s="186"/>
      <c r="R69" s="187"/>
      <c r="S69" s="185"/>
      <c r="T69" s="186"/>
      <c r="U69" s="186"/>
      <c r="V69" s="186"/>
      <c r="W69" s="186"/>
      <c r="X69" s="187"/>
      <c r="Y69" s="185"/>
      <c r="Z69" s="186"/>
      <c r="AA69" s="186"/>
      <c r="AB69" s="186"/>
      <c r="AC69" s="186"/>
      <c r="AD69" s="187"/>
      <c r="AE69" s="185"/>
      <c r="AF69" s="186"/>
      <c r="AG69" s="186"/>
      <c r="AH69" s="186"/>
      <c r="AI69" s="186"/>
      <c r="AJ69" s="187"/>
      <c r="AK69" s="185"/>
      <c r="AL69" s="186"/>
      <c r="AM69" s="186"/>
      <c r="AN69" s="186"/>
      <c r="AO69" s="186"/>
      <c r="AP69" s="187"/>
      <c r="AQ69" s="185"/>
      <c r="AR69" s="186"/>
      <c r="AS69" s="186"/>
      <c r="AT69" s="186"/>
      <c r="AU69" s="186"/>
      <c r="AV69" s="187"/>
      <c r="AW69" s="185"/>
      <c r="AX69" s="186"/>
      <c r="AY69" s="186"/>
      <c r="AZ69" s="186"/>
      <c r="BA69" s="186"/>
      <c r="BB69" s="187"/>
      <c r="BC69" s="185"/>
      <c r="BD69" s="186"/>
      <c r="BE69" s="186"/>
      <c r="BF69" s="186"/>
      <c r="BG69" s="186"/>
      <c r="BH69" s="187"/>
      <c r="BI69" s="185"/>
      <c r="BJ69" s="186"/>
      <c r="BK69" s="186"/>
      <c r="BL69" s="186"/>
      <c r="BM69" s="186"/>
      <c r="BN69" s="187"/>
      <c r="BO69" s="185"/>
      <c r="BP69" s="186"/>
      <c r="BQ69" s="186"/>
      <c r="BR69" s="186"/>
      <c r="BS69" s="186"/>
      <c r="BT69" s="187"/>
      <c r="BU69" s="185"/>
      <c r="BV69" s="186"/>
      <c r="BW69" s="186"/>
      <c r="BX69" s="186"/>
      <c r="BY69" s="186"/>
      <c r="BZ69" s="187"/>
      <c r="CA69" s="185"/>
      <c r="CB69" s="186"/>
      <c r="CC69" s="186"/>
      <c r="CD69" s="186"/>
      <c r="CE69" s="186"/>
      <c r="CF69" s="187"/>
      <c r="CG69" s="185"/>
      <c r="CH69" s="186"/>
      <c r="CI69" s="186"/>
      <c r="CJ69" s="186"/>
      <c r="CK69" s="186"/>
      <c r="CL69" s="187"/>
      <c r="CM69" s="185"/>
      <c r="CN69" s="186"/>
      <c r="CO69" s="186"/>
      <c r="CP69" s="186"/>
      <c r="CQ69" s="186"/>
      <c r="CR69" s="187"/>
      <c r="CS69" s="185"/>
      <c r="CT69" s="186"/>
      <c r="CU69" s="186"/>
      <c r="CV69" s="186"/>
      <c r="CW69" s="186"/>
      <c r="CX69" s="187"/>
      <c r="CY69" s="51"/>
      <c r="CZ69" s="114"/>
      <c r="DA69" s="114"/>
      <c r="DB69" s="114"/>
      <c r="DC69" s="114"/>
      <c r="DD69" s="114"/>
      <c r="DE69" s="114"/>
      <c r="DF69" s="114"/>
    </row>
    <row r="70" spans="1:113" s="65" customFormat="1" ht="15.75" customHeight="1" x14ac:dyDescent="0.25">
      <c r="A70" s="51"/>
      <c r="B70" s="31">
        <v>15</v>
      </c>
      <c r="C70" s="30">
        <f t="shared" si="0"/>
        <v>0</v>
      </c>
      <c r="D70" s="39" t="str">
        <f t="shared" si="1"/>
        <v/>
      </c>
      <c r="E70" s="112" t="str">
        <f>IF('House of Quality 3'!$CS$74&lt;&gt;0, 'House of Quality 3'!$CS$74,"")</f>
        <v/>
      </c>
      <c r="F70" s="234" t="str">
        <f>IF('House of Quality 3'!$CS$49&lt;&gt;"", 'House of Quality 3'!$CS$49,"")</f>
        <v/>
      </c>
      <c r="G70" s="235"/>
      <c r="H70" s="235"/>
      <c r="I70" s="235"/>
      <c r="J70" s="235"/>
      <c r="K70" s="235"/>
      <c r="L70" s="236"/>
      <c r="M70" s="185"/>
      <c r="N70" s="186"/>
      <c r="O70" s="186"/>
      <c r="P70" s="186"/>
      <c r="Q70" s="186"/>
      <c r="R70" s="187"/>
      <c r="S70" s="185"/>
      <c r="T70" s="186"/>
      <c r="U70" s="186"/>
      <c r="V70" s="186"/>
      <c r="W70" s="186"/>
      <c r="X70" s="187"/>
      <c r="Y70" s="185"/>
      <c r="Z70" s="186"/>
      <c r="AA70" s="186"/>
      <c r="AB70" s="186"/>
      <c r="AC70" s="186"/>
      <c r="AD70" s="187"/>
      <c r="AE70" s="185"/>
      <c r="AF70" s="186"/>
      <c r="AG70" s="186"/>
      <c r="AH70" s="186"/>
      <c r="AI70" s="186"/>
      <c r="AJ70" s="187"/>
      <c r="AK70" s="185"/>
      <c r="AL70" s="186"/>
      <c r="AM70" s="186"/>
      <c r="AN70" s="186"/>
      <c r="AO70" s="186"/>
      <c r="AP70" s="187"/>
      <c r="AQ70" s="185"/>
      <c r="AR70" s="186"/>
      <c r="AS70" s="186"/>
      <c r="AT70" s="186"/>
      <c r="AU70" s="186"/>
      <c r="AV70" s="187"/>
      <c r="AW70" s="185"/>
      <c r="AX70" s="186"/>
      <c r="AY70" s="186"/>
      <c r="AZ70" s="186"/>
      <c r="BA70" s="186"/>
      <c r="BB70" s="187"/>
      <c r="BC70" s="185"/>
      <c r="BD70" s="186"/>
      <c r="BE70" s="186"/>
      <c r="BF70" s="186"/>
      <c r="BG70" s="186"/>
      <c r="BH70" s="187"/>
      <c r="BI70" s="185"/>
      <c r="BJ70" s="186"/>
      <c r="BK70" s="186"/>
      <c r="BL70" s="186"/>
      <c r="BM70" s="186"/>
      <c r="BN70" s="187"/>
      <c r="BO70" s="185"/>
      <c r="BP70" s="186"/>
      <c r="BQ70" s="186"/>
      <c r="BR70" s="186"/>
      <c r="BS70" s="186"/>
      <c r="BT70" s="187"/>
      <c r="BU70" s="185"/>
      <c r="BV70" s="186"/>
      <c r="BW70" s="186"/>
      <c r="BX70" s="186"/>
      <c r="BY70" s="186"/>
      <c r="BZ70" s="187"/>
      <c r="CA70" s="185"/>
      <c r="CB70" s="186"/>
      <c r="CC70" s="186"/>
      <c r="CD70" s="186"/>
      <c r="CE70" s="186"/>
      <c r="CF70" s="187"/>
      <c r="CG70" s="185"/>
      <c r="CH70" s="186"/>
      <c r="CI70" s="186"/>
      <c r="CJ70" s="186"/>
      <c r="CK70" s="186"/>
      <c r="CL70" s="187"/>
      <c r="CM70" s="185"/>
      <c r="CN70" s="186"/>
      <c r="CO70" s="186"/>
      <c r="CP70" s="186"/>
      <c r="CQ70" s="186"/>
      <c r="CR70" s="187"/>
      <c r="CS70" s="185"/>
      <c r="CT70" s="186"/>
      <c r="CU70" s="186"/>
      <c r="CV70" s="186"/>
      <c r="CW70" s="186"/>
      <c r="CX70" s="187"/>
      <c r="CY70" s="51"/>
      <c r="CZ70" s="114"/>
      <c r="DA70" s="114"/>
      <c r="DB70" s="114"/>
      <c r="DC70" s="114"/>
      <c r="DD70" s="114"/>
      <c r="DE70" s="114"/>
      <c r="DF70" s="114"/>
    </row>
    <row r="71" spans="1:113" s="65" customFormat="1" ht="84.75" customHeight="1" x14ac:dyDescent="0.25">
      <c r="A71" s="51"/>
      <c r="B71" s="51"/>
      <c r="C71" s="51"/>
      <c r="D71" s="52"/>
      <c r="E71" s="111"/>
      <c r="F71" s="221" t="s">
        <v>9</v>
      </c>
      <c r="G71" s="233"/>
      <c r="H71" s="233"/>
      <c r="I71" s="233"/>
      <c r="J71" s="233"/>
      <c r="K71" s="233"/>
      <c r="L71" s="222"/>
      <c r="M71" s="159"/>
      <c r="N71" s="160"/>
      <c r="O71" s="160"/>
      <c r="P71" s="160"/>
      <c r="Q71" s="160"/>
      <c r="R71" s="161"/>
      <c r="S71" s="159"/>
      <c r="T71" s="160"/>
      <c r="U71" s="160"/>
      <c r="V71" s="160"/>
      <c r="W71" s="160"/>
      <c r="X71" s="161"/>
      <c r="Y71" s="159"/>
      <c r="Z71" s="160"/>
      <c r="AA71" s="160"/>
      <c r="AB71" s="160"/>
      <c r="AC71" s="160"/>
      <c r="AD71" s="161"/>
      <c r="AE71" s="159"/>
      <c r="AF71" s="160"/>
      <c r="AG71" s="160"/>
      <c r="AH71" s="160"/>
      <c r="AI71" s="160"/>
      <c r="AJ71" s="161"/>
      <c r="AK71" s="159"/>
      <c r="AL71" s="160"/>
      <c r="AM71" s="160"/>
      <c r="AN71" s="160"/>
      <c r="AO71" s="160"/>
      <c r="AP71" s="161"/>
      <c r="AQ71" s="159"/>
      <c r="AR71" s="160"/>
      <c r="AS71" s="160"/>
      <c r="AT71" s="160"/>
      <c r="AU71" s="160"/>
      <c r="AV71" s="161"/>
      <c r="AW71" s="159"/>
      <c r="AX71" s="160"/>
      <c r="AY71" s="160"/>
      <c r="AZ71" s="160"/>
      <c r="BA71" s="160"/>
      <c r="BB71" s="161"/>
      <c r="BC71" s="159"/>
      <c r="BD71" s="160"/>
      <c r="BE71" s="160"/>
      <c r="BF71" s="160"/>
      <c r="BG71" s="160"/>
      <c r="BH71" s="161"/>
      <c r="BI71" s="159"/>
      <c r="BJ71" s="160"/>
      <c r="BK71" s="160"/>
      <c r="BL71" s="160"/>
      <c r="BM71" s="160"/>
      <c r="BN71" s="161"/>
      <c r="BO71" s="159"/>
      <c r="BP71" s="160"/>
      <c r="BQ71" s="160"/>
      <c r="BR71" s="160"/>
      <c r="BS71" s="160"/>
      <c r="BT71" s="161"/>
      <c r="BU71" s="159"/>
      <c r="BV71" s="160"/>
      <c r="BW71" s="160"/>
      <c r="BX71" s="160"/>
      <c r="BY71" s="160"/>
      <c r="BZ71" s="161"/>
      <c r="CA71" s="159"/>
      <c r="CB71" s="160"/>
      <c r="CC71" s="160"/>
      <c r="CD71" s="160"/>
      <c r="CE71" s="160"/>
      <c r="CF71" s="161"/>
      <c r="CG71" s="159"/>
      <c r="CH71" s="160"/>
      <c r="CI71" s="160"/>
      <c r="CJ71" s="160"/>
      <c r="CK71" s="160"/>
      <c r="CL71" s="161"/>
      <c r="CM71" s="159"/>
      <c r="CN71" s="160"/>
      <c r="CO71" s="160"/>
      <c r="CP71" s="160"/>
      <c r="CQ71" s="160"/>
      <c r="CR71" s="161"/>
      <c r="CS71" s="214"/>
      <c r="CT71" s="214"/>
      <c r="CU71" s="214"/>
      <c r="CV71" s="214"/>
      <c r="CW71" s="214"/>
      <c r="CX71" s="214"/>
      <c r="CY71" s="51"/>
      <c r="CZ71" s="114"/>
      <c r="DA71" s="114"/>
      <c r="DB71" s="114"/>
      <c r="DC71" s="114"/>
      <c r="DD71" s="114"/>
      <c r="DE71" s="114"/>
      <c r="DF71" s="114"/>
    </row>
    <row r="72" spans="1:113" s="65" customFormat="1" ht="22.5" customHeight="1" x14ac:dyDescent="0.25">
      <c r="A72" s="51"/>
      <c r="B72" s="51"/>
      <c r="C72" s="51"/>
      <c r="D72" s="52"/>
      <c r="E72" s="111"/>
      <c r="F72" s="170" t="s">
        <v>36</v>
      </c>
      <c r="G72" s="232"/>
      <c r="H72" s="232"/>
      <c r="I72" s="232"/>
      <c r="J72" s="232"/>
      <c r="K72" s="232"/>
      <c r="L72" s="220"/>
      <c r="M72" s="173"/>
      <c r="N72" s="174"/>
      <c r="O72" s="174"/>
      <c r="P72" s="174"/>
      <c r="Q72" s="174"/>
      <c r="R72" s="175"/>
      <c r="S72" s="173"/>
      <c r="T72" s="174"/>
      <c r="U72" s="174"/>
      <c r="V72" s="174"/>
      <c r="W72" s="174"/>
      <c r="X72" s="175"/>
      <c r="Y72" s="173"/>
      <c r="Z72" s="174"/>
      <c r="AA72" s="174"/>
      <c r="AB72" s="174"/>
      <c r="AC72" s="174"/>
      <c r="AD72" s="175"/>
      <c r="AE72" s="173"/>
      <c r="AF72" s="174"/>
      <c r="AG72" s="174"/>
      <c r="AH72" s="174"/>
      <c r="AI72" s="174"/>
      <c r="AJ72" s="175"/>
      <c r="AK72" s="173"/>
      <c r="AL72" s="174"/>
      <c r="AM72" s="174"/>
      <c r="AN72" s="174"/>
      <c r="AO72" s="174"/>
      <c r="AP72" s="175"/>
      <c r="AQ72" s="173"/>
      <c r="AR72" s="174"/>
      <c r="AS72" s="174"/>
      <c r="AT72" s="174"/>
      <c r="AU72" s="174"/>
      <c r="AV72" s="175"/>
      <c r="AW72" s="173"/>
      <c r="AX72" s="174"/>
      <c r="AY72" s="174"/>
      <c r="AZ72" s="174"/>
      <c r="BA72" s="174"/>
      <c r="BB72" s="175"/>
      <c r="BC72" s="173"/>
      <c r="BD72" s="174"/>
      <c r="BE72" s="174"/>
      <c r="BF72" s="174"/>
      <c r="BG72" s="174"/>
      <c r="BH72" s="175"/>
      <c r="BI72" s="173"/>
      <c r="BJ72" s="174"/>
      <c r="BK72" s="174"/>
      <c r="BL72" s="174"/>
      <c r="BM72" s="174"/>
      <c r="BN72" s="175"/>
      <c r="BO72" s="173"/>
      <c r="BP72" s="174"/>
      <c r="BQ72" s="174"/>
      <c r="BR72" s="174"/>
      <c r="BS72" s="174"/>
      <c r="BT72" s="175"/>
      <c r="BU72" s="173"/>
      <c r="BV72" s="174"/>
      <c r="BW72" s="174"/>
      <c r="BX72" s="174"/>
      <c r="BY72" s="174"/>
      <c r="BZ72" s="175"/>
      <c r="CA72" s="173"/>
      <c r="CB72" s="174"/>
      <c r="CC72" s="174"/>
      <c r="CD72" s="174"/>
      <c r="CE72" s="174"/>
      <c r="CF72" s="175"/>
      <c r="CG72" s="173"/>
      <c r="CH72" s="174"/>
      <c r="CI72" s="174"/>
      <c r="CJ72" s="174"/>
      <c r="CK72" s="174"/>
      <c r="CL72" s="175"/>
      <c r="CM72" s="173"/>
      <c r="CN72" s="174"/>
      <c r="CO72" s="174"/>
      <c r="CP72" s="174"/>
      <c r="CQ72" s="174"/>
      <c r="CR72" s="175"/>
      <c r="CS72" s="213"/>
      <c r="CT72" s="213"/>
      <c r="CU72" s="213"/>
      <c r="CV72" s="213"/>
      <c r="CW72" s="213"/>
      <c r="CX72" s="213"/>
      <c r="CY72" s="51"/>
      <c r="CZ72" s="51"/>
      <c r="DA72" s="51"/>
      <c r="DB72" s="51"/>
      <c r="DC72" s="51"/>
      <c r="DD72" s="51"/>
      <c r="DE72" s="51"/>
      <c r="DF72" s="51"/>
    </row>
    <row r="73" spans="1:113" s="65" customFormat="1" ht="14.25" customHeight="1" x14ac:dyDescent="0.25">
      <c r="A73" s="51"/>
      <c r="B73" s="51"/>
      <c r="C73" s="51"/>
      <c r="D73" s="52"/>
      <c r="E73" s="111"/>
      <c r="F73" s="170" t="s">
        <v>3</v>
      </c>
      <c r="G73" s="232"/>
      <c r="H73" s="232"/>
      <c r="I73" s="232"/>
      <c r="J73" s="232"/>
      <c r="K73" s="232"/>
      <c r="L73" s="220"/>
      <c r="M73" s="182">
        <f>MAX(M79:R93)</f>
        <v>0</v>
      </c>
      <c r="N73" s="183"/>
      <c r="O73" s="183"/>
      <c r="P73" s="183"/>
      <c r="Q73" s="183"/>
      <c r="R73" s="184"/>
      <c r="S73" s="182">
        <f>MAX(S79:X93)</f>
        <v>0</v>
      </c>
      <c r="T73" s="183"/>
      <c r="U73" s="183"/>
      <c r="V73" s="183"/>
      <c r="W73" s="183"/>
      <c r="X73" s="184"/>
      <c r="Y73" s="182">
        <f>MAX(Y79:AD93)</f>
        <v>0</v>
      </c>
      <c r="Z73" s="183"/>
      <c r="AA73" s="183"/>
      <c r="AB73" s="183"/>
      <c r="AC73" s="183"/>
      <c r="AD73" s="184"/>
      <c r="AE73" s="182">
        <f>MAX(AE79:AJ93)</f>
        <v>0</v>
      </c>
      <c r="AF73" s="183"/>
      <c r="AG73" s="183"/>
      <c r="AH73" s="183"/>
      <c r="AI73" s="183"/>
      <c r="AJ73" s="184"/>
      <c r="AK73" s="182">
        <f>MAX(AK79:AP93)</f>
        <v>0</v>
      </c>
      <c r="AL73" s="183"/>
      <c r="AM73" s="183"/>
      <c r="AN73" s="183"/>
      <c r="AO73" s="183"/>
      <c r="AP73" s="184"/>
      <c r="AQ73" s="182">
        <f>MAX(AQ79:AV93)</f>
        <v>0</v>
      </c>
      <c r="AR73" s="183"/>
      <c r="AS73" s="183"/>
      <c r="AT73" s="183"/>
      <c r="AU73" s="183"/>
      <c r="AV73" s="184"/>
      <c r="AW73" s="182">
        <f>MAX(AW79:BB93)</f>
        <v>0</v>
      </c>
      <c r="AX73" s="183"/>
      <c r="AY73" s="183"/>
      <c r="AZ73" s="183"/>
      <c r="BA73" s="183"/>
      <c r="BB73" s="184"/>
      <c r="BC73" s="182">
        <f>MAX(BC79:BH93)</f>
        <v>0</v>
      </c>
      <c r="BD73" s="183"/>
      <c r="BE73" s="183"/>
      <c r="BF73" s="183"/>
      <c r="BG73" s="183"/>
      <c r="BH73" s="184"/>
      <c r="BI73" s="182">
        <f>MAX(BI79:BN93)</f>
        <v>0</v>
      </c>
      <c r="BJ73" s="183"/>
      <c r="BK73" s="183"/>
      <c r="BL73" s="183"/>
      <c r="BM73" s="183"/>
      <c r="BN73" s="184"/>
      <c r="BO73" s="182">
        <f>MAX(BO79:BT93)</f>
        <v>0</v>
      </c>
      <c r="BP73" s="183"/>
      <c r="BQ73" s="183"/>
      <c r="BR73" s="183"/>
      <c r="BS73" s="183"/>
      <c r="BT73" s="184"/>
      <c r="BU73" s="182">
        <f>MAX(BU79:BZ93)</f>
        <v>0</v>
      </c>
      <c r="BV73" s="183"/>
      <c r="BW73" s="183"/>
      <c r="BX73" s="183"/>
      <c r="BY73" s="183"/>
      <c r="BZ73" s="184"/>
      <c r="CA73" s="182">
        <f>MAX(CA79:CF93)</f>
        <v>0</v>
      </c>
      <c r="CB73" s="183"/>
      <c r="CC73" s="183"/>
      <c r="CD73" s="183"/>
      <c r="CE73" s="183"/>
      <c r="CF73" s="184"/>
      <c r="CG73" s="182">
        <f>MAX(CG79:CL93)</f>
        <v>0</v>
      </c>
      <c r="CH73" s="183"/>
      <c r="CI73" s="183"/>
      <c r="CJ73" s="183"/>
      <c r="CK73" s="183"/>
      <c r="CL73" s="184"/>
      <c r="CM73" s="182">
        <f>MAX(CM79:CR93)</f>
        <v>0</v>
      </c>
      <c r="CN73" s="183"/>
      <c r="CO73" s="183"/>
      <c r="CP73" s="183"/>
      <c r="CQ73" s="183"/>
      <c r="CR73" s="184"/>
      <c r="CS73" s="182">
        <f>MAX(CS79:CX93)</f>
        <v>0</v>
      </c>
      <c r="CT73" s="183"/>
      <c r="CU73" s="183"/>
      <c r="CV73" s="183"/>
      <c r="CW73" s="183"/>
      <c r="CX73" s="184"/>
      <c r="CY73" s="51"/>
      <c r="CZ73" s="51"/>
      <c r="DA73" s="51"/>
      <c r="DB73" s="51"/>
      <c r="DC73" s="51"/>
      <c r="DD73" s="51"/>
      <c r="DE73" s="51"/>
      <c r="DF73" s="51"/>
    </row>
    <row r="74" spans="1:113" s="65" customFormat="1" ht="14.25" customHeight="1" x14ac:dyDescent="0.2">
      <c r="A74" s="51"/>
      <c r="B74" s="51"/>
      <c r="C74" s="51"/>
      <c r="D74" s="52"/>
      <c r="E74" s="111"/>
      <c r="F74" s="170" t="s">
        <v>29</v>
      </c>
      <c r="G74" s="232"/>
      <c r="H74" s="232"/>
      <c r="I74" s="232"/>
      <c r="J74" s="232"/>
      <c r="K74" s="232"/>
      <c r="L74" s="220"/>
      <c r="M74" s="179">
        <f>SUM($D79*M79,$D80*M80,$D81*M81,$D82*M82,$D83*M83,$D84*M84,$D85*M85,$D86*M86,$D87*M87,$D88*M88,$D89*M89,$D90*M90,$D91*M91,$D92*M92,$D93*M93)</f>
        <v>0</v>
      </c>
      <c r="N74" s="180"/>
      <c r="O74" s="180"/>
      <c r="P74" s="180"/>
      <c r="Q74" s="180"/>
      <c r="R74" s="181"/>
      <c r="S74" s="179">
        <f>SUM($D79*S79,$D80*S80,$D81*S81,$D82*S82,$D83*S83,$D84*S84,$D85*S85,$D86*S86,$D87*S87,$D88*S88,$D89*S89,$D90*S90,$D91*S91,$D92*S92,$D93*S93)</f>
        <v>0</v>
      </c>
      <c r="T74" s="180"/>
      <c r="U74" s="180"/>
      <c r="V74" s="180"/>
      <c r="W74" s="180"/>
      <c r="X74" s="181"/>
      <c r="Y74" s="179">
        <f>SUM($D79*Y79,$D80*Y80,$D81*Y81,$D82*Y82,$D83*Y83,$D84*Y84,$D85*Y85,$D86*Y86,$D87*Y87,$D88*Y88,$D89*Y89,$D90*Y90,$D91*Y91,$D92*Y92,$D93*Y93)</f>
        <v>0</v>
      </c>
      <c r="Z74" s="180"/>
      <c r="AA74" s="180"/>
      <c r="AB74" s="180"/>
      <c r="AC74" s="180"/>
      <c r="AD74" s="181"/>
      <c r="AE74" s="179">
        <f>SUM($D79*AE79,$D80*AE80,$D81*AE81,$D82*AE82,$D83*AE83,$D84*AE84,$D85*AE85,$D86*AE86,$D87*AE87,$D88*AE88,$D89*AE89,$D90*AE90,$D91*AE91,$D92*AE92,$D93*AE93)</f>
        <v>0</v>
      </c>
      <c r="AF74" s="180"/>
      <c r="AG74" s="180"/>
      <c r="AH74" s="180"/>
      <c r="AI74" s="180"/>
      <c r="AJ74" s="181"/>
      <c r="AK74" s="179">
        <f>SUM($D79*AK79,$D80*AK80,$D81*AK81,$D82*AK82,$D83*AK83,$D84*AK84,$D85*AK85,$D86*AK86,$D87*AK87,$D88*AK88,$D89*AK89,$D90*AK90,$D91*AK91,$D92*AK92,$D93*AK93)</f>
        <v>0</v>
      </c>
      <c r="AL74" s="180"/>
      <c r="AM74" s="180"/>
      <c r="AN74" s="180"/>
      <c r="AO74" s="180"/>
      <c r="AP74" s="181"/>
      <c r="AQ74" s="179">
        <f>SUM($D79*AQ79,$D80*AQ80,$D81*AQ81,$D82*AQ82,$D83*AQ83,$D84*AQ84,$D85*AQ85,$D86*AQ86,$D87*AQ87,$D88*AQ88,$D89*AQ89,$D90*AQ90,$D91*AQ91,$D92*AQ92,$D93*AQ93)</f>
        <v>0</v>
      </c>
      <c r="AR74" s="180"/>
      <c r="AS74" s="180"/>
      <c r="AT74" s="180"/>
      <c r="AU74" s="180"/>
      <c r="AV74" s="181"/>
      <c r="AW74" s="179">
        <f>SUM($D79*AW79,$D80*AW80,$D81*AW81,$D82*AW82,$D83*AW83,$D84*AW84,$D85*AW85,$D86*AW86,$D87*AW87,$D88*AW88,$D89*AW89,$D90*AW90,$D91*AW91,$D92*AW92,$D93*AW93)</f>
        <v>0</v>
      </c>
      <c r="AX74" s="180"/>
      <c r="AY74" s="180"/>
      <c r="AZ74" s="180"/>
      <c r="BA74" s="180"/>
      <c r="BB74" s="181"/>
      <c r="BC74" s="179">
        <f>SUM($D79*BC79,$D80*BC80,$D81*BC81,$D82*BC82,$D83*BC83,$D84*BC84,$D85*BC85,$D86*BC86,$D87*BC87,$D88*BC88,$D89*BC89,$D90*BC90,$D91*BC91,$D92*BC92,$D93*BC93)</f>
        <v>0</v>
      </c>
      <c r="BD74" s="180"/>
      <c r="BE74" s="180"/>
      <c r="BF74" s="180"/>
      <c r="BG74" s="180"/>
      <c r="BH74" s="181"/>
      <c r="BI74" s="179">
        <f>SUM($D79*BI79,$D80*BI80,$D81*BI81,$D82*BI82,$D83*BI83,$D84*BI84,$D85*BI85,$D86*BI86,$D87*BI87,$D88*BI88,$D89*BI89,$D90*BI90,$D91*BI91,$D92*BI92,$D93*BI93)</f>
        <v>0</v>
      </c>
      <c r="BJ74" s="180"/>
      <c r="BK74" s="180"/>
      <c r="BL74" s="180"/>
      <c r="BM74" s="180"/>
      <c r="BN74" s="181"/>
      <c r="BO74" s="179">
        <f>SUM($D79*BO79,$D80*BO80,$D81*BO81,$D82*BO82,$D83*BO83,$D84*BO84,$D85*BO85,$D86*BO86,$D87*BO87,$D88*BO88,$D89*BO89,$D90*BO90,$D91*BO91,$D92*BO92,$D93*BO93)</f>
        <v>0</v>
      </c>
      <c r="BP74" s="180"/>
      <c r="BQ74" s="180"/>
      <c r="BR74" s="180"/>
      <c r="BS74" s="180"/>
      <c r="BT74" s="181"/>
      <c r="BU74" s="179">
        <f>SUM($D79*BU79,$D80*BU80,$D81*BU81,$D82*BU82,$D83*BU83,$D84*BU84,$D85*BU85,$D86*BU86,$D87*BU87,$D88*BU88,$D89*BU89,$D90*BU90,$D91*BU91,$D92*BU92,$D93*BU93)</f>
        <v>0</v>
      </c>
      <c r="BV74" s="180"/>
      <c r="BW74" s="180"/>
      <c r="BX74" s="180"/>
      <c r="BY74" s="180"/>
      <c r="BZ74" s="181"/>
      <c r="CA74" s="179">
        <f>SUM($D79*CA79,$D80*CA80,$D81*CA81,$D82*CA82,$D83*CA83,$D84*CA84,$D85*CA85,$D86*CA86,$D87*CA87,$D88*CA88,$D89*CA89,$D90*CA90,$D91*CA91,$D92*CA92,$D93*CA93)</f>
        <v>0</v>
      </c>
      <c r="CB74" s="180"/>
      <c r="CC74" s="180"/>
      <c r="CD74" s="180"/>
      <c r="CE74" s="180"/>
      <c r="CF74" s="181"/>
      <c r="CG74" s="179">
        <f>SUM($D79*CG79,$D80*CG80,$D81*CG81,$D82*CG82,$D83*CG83,$D84*CG84,$D85*CG85,$D86*CG86,$D87*CG87,$D88*CG88,$D89*CG89,$D90*CG90,$D91*CG91,$D92*CG92,$D93*CG93)</f>
        <v>0</v>
      </c>
      <c r="CH74" s="180"/>
      <c r="CI74" s="180"/>
      <c r="CJ74" s="180"/>
      <c r="CK74" s="180"/>
      <c r="CL74" s="181"/>
      <c r="CM74" s="179">
        <f>SUM($D79*CM79,$D80*CM80,$D81*CM81,$D82*CM82,$D83*CM83,$D84*CM84,$D85*CM85,$D86*CM86,$D87*CM87,$D88*CM88,$D89*CM89,$D90*CM90,$D91*CM91,$D92*CM92,$D93*CM93)</f>
        <v>0</v>
      </c>
      <c r="CN74" s="180"/>
      <c r="CO74" s="180"/>
      <c r="CP74" s="180"/>
      <c r="CQ74" s="180"/>
      <c r="CR74" s="181"/>
      <c r="CS74" s="179">
        <f>SUM($D79*CS79,$D80*CS80,$D81*CS81,$D82*CS82,$D83*CS83,$D84*CS84,$D85*CS85,$D86*CS86,$D87*CS87,$D88*CS88,$D89*CS89,$D90*CS90,$D91*CS91,$D92*CS92,$D93*CS93)</f>
        <v>0</v>
      </c>
      <c r="CT74" s="180"/>
      <c r="CU74" s="180"/>
      <c r="CV74" s="180"/>
      <c r="CW74" s="180"/>
      <c r="CX74" s="181"/>
      <c r="CY74" s="17"/>
      <c r="CZ74" s="17"/>
      <c r="DA74" s="17"/>
      <c r="DB74" s="17"/>
      <c r="DC74" s="17"/>
      <c r="DD74" s="17"/>
      <c r="DE74" s="17"/>
      <c r="DF74" s="17"/>
    </row>
    <row r="75" spans="1:113" s="65" customFormat="1" ht="14.25" customHeight="1" x14ac:dyDescent="0.25">
      <c r="A75" s="114"/>
      <c r="B75" s="114"/>
      <c r="C75" s="114"/>
      <c r="D75" s="114"/>
      <c r="E75" s="114"/>
      <c r="F75" s="170" t="s">
        <v>1</v>
      </c>
      <c r="G75" s="232"/>
      <c r="H75" s="232"/>
      <c r="I75" s="232"/>
      <c r="J75" s="232"/>
      <c r="K75" s="232"/>
      <c r="L75" s="220"/>
      <c r="M75" s="176" t="str">
        <f>IF(M$74&gt;0,(M$74/SUM($74:$74))*100, "")</f>
        <v/>
      </c>
      <c r="N75" s="177"/>
      <c r="O75" s="177"/>
      <c r="P75" s="177"/>
      <c r="Q75" s="177"/>
      <c r="R75" s="178"/>
      <c r="S75" s="176" t="str">
        <f>IF(S$74&gt;0,(S$74/SUM($74:$74))*100, "")</f>
        <v/>
      </c>
      <c r="T75" s="177"/>
      <c r="U75" s="177"/>
      <c r="V75" s="177"/>
      <c r="W75" s="177"/>
      <c r="X75" s="178"/>
      <c r="Y75" s="176" t="str">
        <f>IF(Y$74&gt;0,(Y$74/SUM($74:$74))*100, "")</f>
        <v/>
      </c>
      <c r="Z75" s="177"/>
      <c r="AA75" s="177"/>
      <c r="AB75" s="177"/>
      <c r="AC75" s="177"/>
      <c r="AD75" s="178"/>
      <c r="AE75" s="176" t="str">
        <f>IF(AE$74&gt;0,(AE$74/SUM($74:$74))*100, "")</f>
        <v/>
      </c>
      <c r="AF75" s="177"/>
      <c r="AG75" s="177"/>
      <c r="AH75" s="177"/>
      <c r="AI75" s="177"/>
      <c r="AJ75" s="178"/>
      <c r="AK75" s="176" t="str">
        <f>IF(AK$74&gt;0,(AK$74/SUM($74:$74))*100, "")</f>
        <v/>
      </c>
      <c r="AL75" s="177"/>
      <c r="AM75" s="177"/>
      <c r="AN75" s="177"/>
      <c r="AO75" s="177"/>
      <c r="AP75" s="178"/>
      <c r="AQ75" s="176" t="str">
        <f>IF(AQ$74&gt;0,(AQ$74/SUM($74:$74))*100, "")</f>
        <v/>
      </c>
      <c r="AR75" s="177"/>
      <c r="AS75" s="177"/>
      <c r="AT75" s="177"/>
      <c r="AU75" s="177"/>
      <c r="AV75" s="178"/>
      <c r="AW75" s="176" t="str">
        <f>IF(AW$74&gt;0,(AW$74/SUM($74:$74))*100, "")</f>
        <v/>
      </c>
      <c r="AX75" s="177"/>
      <c r="AY75" s="177"/>
      <c r="AZ75" s="177"/>
      <c r="BA75" s="177"/>
      <c r="BB75" s="178"/>
      <c r="BC75" s="176" t="str">
        <f>IF(BC$74&gt;0,(BC$74/SUM($74:$74))*100, "")</f>
        <v/>
      </c>
      <c r="BD75" s="177"/>
      <c r="BE75" s="177"/>
      <c r="BF75" s="177"/>
      <c r="BG75" s="177"/>
      <c r="BH75" s="178"/>
      <c r="BI75" s="176" t="str">
        <f>IF(BI$74&gt;0,(BI$74/SUM($74:$74))*100, "")</f>
        <v/>
      </c>
      <c r="BJ75" s="177"/>
      <c r="BK75" s="177"/>
      <c r="BL75" s="177"/>
      <c r="BM75" s="177"/>
      <c r="BN75" s="178"/>
      <c r="BO75" s="176" t="str">
        <f>IF(BO$74&gt;0,(BO$74/SUM($74:$74))*100, "")</f>
        <v/>
      </c>
      <c r="BP75" s="177"/>
      <c r="BQ75" s="177"/>
      <c r="BR75" s="177"/>
      <c r="BS75" s="177"/>
      <c r="BT75" s="178"/>
      <c r="BU75" s="176" t="str">
        <f>IF(BU$74&gt;0,(BU$74/SUM($74:$74))*100, "")</f>
        <v/>
      </c>
      <c r="BV75" s="177"/>
      <c r="BW75" s="177"/>
      <c r="BX75" s="177"/>
      <c r="BY75" s="177"/>
      <c r="BZ75" s="178"/>
      <c r="CA75" s="176" t="str">
        <f>IF(CA$74&gt;0,(CA$74/SUM($74:$74))*100, "")</f>
        <v/>
      </c>
      <c r="CB75" s="177"/>
      <c r="CC75" s="177"/>
      <c r="CD75" s="177"/>
      <c r="CE75" s="177"/>
      <c r="CF75" s="178"/>
      <c r="CG75" s="176" t="str">
        <f>IF(CG$74&gt;0,(CG$74/SUM($74:$74))*100, "")</f>
        <v/>
      </c>
      <c r="CH75" s="177"/>
      <c r="CI75" s="177"/>
      <c r="CJ75" s="177"/>
      <c r="CK75" s="177"/>
      <c r="CL75" s="178"/>
      <c r="CM75" s="176" t="str">
        <f>IF(CM$74&gt;0,(CM$74/SUM($74:$74))*100, "")</f>
        <v/>
      </c>
      <c r="CN75" s="177"/>
      <c r="CO75" s="177"/>
      <c r="CP75" s="177"/>
      <c r="CQ75" s="177"/>
      <c r="CR75" s="178"/>
      <c r="CS75" s="176" t="str">
        <f>IF(CS$74&gt;0,(CS$74/SUM($74:$74))*100, "")</f>
        <v/>
      </c>
      <c r="CT75" s="177"/>
      <c r="CU75" s="177"/>
      <c r="CV75" s="177"/>
      <c r="CW75" s="177"/>
      <c r="CX75" s="178"/>
      <c r="CY75" s="225" t="s">
        <v>48</v>
      </c>
      <c r="CZ75" s="226"/>
      <c r="DA75" s="226"/>
      <c r="DB75" s="226"/>
      <c r="DC75" s="226"/>
      <c r="DD75" s="226"/>
      <c r="DE75" s="226"/>
      <c r="DF75" s="126"/>
      <c r="DG75" s="127"/>
      <c r="DH75" s="127"/>
      <c r="DI75" s="127"/>
    </row>
    <row r="76" spans="1:113" ht="23.25" customHeight="1" x14ac:dyDescent="0.2">
      <c r="A76" s="17"/>
      <c r="B76" s="47"/>
      <c r="C76" s="47"/>
      <c r="D76" s="48"/>
      <c r="E76" s="48"/>
      <c r="F76" s="215"/>
      <c r="G76" s="215"/>
      <c r="H76" s="215"/>
      <c r="I76" s="215"/>
      <c r="J76" s="215"/>
      <c r="K76" s="215"/>
      <c r="L76" s="215"/>
      <c r="M76" s="57"/>
      <c r="N76" s="57"/>
      <c r="O76" s="57"/>
      <c r="P76" s="57"/>
      <c r="Q76" s="57"/>
      <c r="R76" s="57"/>
      <c r="S76" s="57"/>
      <c r="T76" s="57"/>
      <c r="U76" s="57"/>
      <c r="V76" s="57"/>
      <c r="W76" s="57"/>
      <c r="X76" s="57"/>
      <c r="Y76" s="57"/>
      <c r="Z76" s="57"/>
      <c r="AA76" s="57"/>
      <c r="AB76" s="57"/>
      <c r="AC76" s="57"/>
      <c r="AD76" s="57"/>
      <c r="AE76" s="57"/>
      <c r="AF76" s="57"/>
      <c r="AG76" s="57"/>
      <c r="AH76" s="57"/>
      <c r="AI76" s="57"/>
      <c r="AJ76" s="57"/>
      <c r="AK76" s="57"/>
      <c r="AL76" s="57"/>
      <c r="AM76" s="57"/>
      <c r="AN76" s="57"/>
      <c r="AO76" s="57"/>
      <c r="AP76" s="57"/>
      <c r="AQ76" s="57"/>
      <c r="AR76" s="57"/>
      <c r="AS76" s="57"/>
      <c r="AT76" s="57"/>
      <c r="AU76" s="57"/>
      <c r="AV76" s="57"/>
      <c r="AW76" s="57"/>
      <c r="AX76" s="57"/>
      <c r="AY76" s="57"/>
      <c r="AZ76" s="57"/>
      <c r="BA76" s="57"/>
      <c r="BB76" s="57"/>
      <c r="BC76" s="57"/>
      <c r="BD76" s="57"/>
      <c r="BE76" s="57"/>
      <c r="BF76" s="57"/>
      <c r="BG76" s="57"/>
      <c r="BH76" s="57"/>
      <c r="BI76" s="57"/>
      <c r="BJ76" s="57"/>
      <c r="BK76" s="57"/>
      <c r="BL76" s="57"/>
      <c r="BM76" s="57"/>
      <c r="BN76" s="57"/>
      <c r="BO76" s="57"/>
      <c r="BP76" s="57"/>
      <c r="BQ76" s="57"/>
      <c r="BR76" s="57"/>
      <c r="BS76" s="57"/>
      <c r="BT76" s="57"/>
      <c r="BU76" s="57"/>
      <c r="BV76" s="57"/>
      <c r="BW76" s="57"/>
      <c r="BX76" s="57"/>
      <c r="BY76" s="57"/>
      <c r="BZ76" s="57"/>
      <c r="CA76" s="57"/>
      <c r="CB76" s="57"/>
      <c r="CC76" s="57"/>
      <c r="CD76" s="57"/>
      <c r="CE76" s="57"/>
      <c r="CF76" s="57"/>
      <c r="CG76" s="57"/>
      <c r="CH76" s="57"/>
      <c r="CI76" s="57"/>
      <c r="CJ76" s="57"/>
      <c r="CK76" s="57"/>
      <c r="CL76" s="57"/>
      <c r="CM76" s="57"/>
      <c r="CN76" s="57"/>
      <c r="CO76" s="57"/>
      <c r="CP76" s="57"/>
      <c r="CQ76" s="57"/>
      <c r="CR76" s="57"/>
      <c r="CS76" s="57"/>
      <c r="CT76" s="57"/>
      <c r="CU76" s="57"/>
      <c r="CV76" s="57"/>
      <c r="CW76" s="57"/>
      <c r="CX76" s="57"/>
      <c r="CY76" s="17"/>
      <c r="CZ76" s="17"/>
      <c r="DA76" s="17"/>
      <c r="DB76" s="17"/>
      <c r="DC76" s="17"/>
      <c r="DD76" s="17"/>
      <c r="DE76" s="17"/>
      <c r="DF76" s="17"/>
    </row>
    <row r="77" spans="1:113" ht="23.25" customHeight="1" x14ac:dyDescent="0.2">
      <c r="B77" s="29"/>
      <c r="C77" s="29"/>
      <c r="D77" s="40"/>
      <c r="E77" s="40"/>
      <c r="F77" s="188"/>
      <c r="G77" s="188"/>
      <c r="H77" s="188"/>
      <c r="I77" s="188"/>
      <c r="J77" s="188"/>
      <c r="K77" s="188"/>
      <c r="L77" s="188"/>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70"/>
      <c r="CZ77" s="46"/>
      <c r="DA77" s="46"/>
      <c r="DB77" s="46"/>
      <c r="DC77" s="46"/>
      <c r="DD77" s="46"/>
      <c r="DE77" s="46"/>
      <c r="DF77" s="46"/>
    </row>
    <row r="78" spans="1:113" ht="23.25" hidden="1" customHeight="1" x14ac:dyDescent="0.2">
      <c r="B78" s="29"/>
      <c r="C78" s="29"/>
      <c r="D78" s="165" t="s">
        <v>50</v>
      </c>
      <c r="E78" s="166"/>
      <c r="F78" s="166"/>
      <c r="G78" s="166"/>
      <c r="H78" s="166"/>
      <c r="I78" s="166"/>
      <c r="J78" s="166"/>
      <c r="K78" s="166"/>
      <c r="L78" s="166"/>
      <c r="M78" s="166"/>
      <c r="N78" s="166"/>
      <c r="O78" s="166"/>
      <c r="P78" s="166"/>
      <c r="Q78" s="166"/>
      <c r="R78" s="166"/>
      <c r="S78" s="166"/>
      <c r="T78" s="166"/>
      <c r="U78" s="166"/>
      <c r="V78" s="166"/>
      <c r="W78" s="166"/>
      <c r="X78" s="166"/>
      <c r="Y78" s="166"/>
      <c r="Z78" s="166"/>
      <c r="AA78" s="166"/>
      <c r="AB78" s="166"/>
      <c r="AC78" s="166"/>
      <c r="AD78" s="166"/>
      <c r="AE78" s="166"/>
      <c r="AF78" s="166"/>
      <c r="AG78" s="166"/>
      <c r="AH78" s="166"/>
      <c r="AI78" s="166"/>
      <c r="AJ78" s="166"/>
      <c r="AK78" s="166"/>
      <c r="AL78" s="166"/>
      <c r="AM78" s="166"/>
      <c r="AN78" s="166"/>
      <c r="AO78" s="166"/>
      <c r="AP78" s="166"/>
      <c r="AQ78" s="166"/>
      <c r="AR78" s="166"/>
      <c r="AS78" s="166"/>
      <c r="AT78" s="166"/>
      <c r="AU78" s="166"/>
      <c r="AV78" s="166"/>
      <c r="AW78" s="166"/>
      <c r="AX78" s="166"/>
      <c r="AY78" s="166"/>
      <c r="AZ78" s="166"/>
      <c r="BA78" s="166"/>
      <c r="BB78" s="166"/>
      <c r="BC78" s="166"/>
      <c r="BD78" s="166"/>
      <c r="BE78" s="166"/>
      <c r="BF78" s="166"/>
      <c r="BG78" s="166"/>
      <c r="BH78" s="166"/>
      <c r="BI78" s="166"/>
      <c r="BJ78" s="166"/>
      <c r="BK78" s="166"/>
      <c r="BL78" s="166"/>
      <c r="BM78" s="166"/>
      <c r="BN78" s="166"/>
      <c r="BO78" s="166"/>
      <c r="BP78" s="166"/>
      <c r="BQ78" s="166"/>
      <c r="BR78" s="166"/>
      <c r="BS78" s="166"/>
      <c r="BT78" s="166"/>
      <c r="BU78" s="166"/>
      <c r="BV78" s="166"/>
      <c r="BW78" s="166"/>
      <c r="BX78" s="166"/>
      <c r="BY78" s="166"/>
      <c r="BZ78" s="166"/>
      <c r="CA78" s="166"/>
      <c r="CB78" s="166"/>
      <c r="CC78" s="166"/>
      <c r="CD78" s="166"/>
      <c r="CE78" s="166"/>
      <c r="CF78" s="166"/>
      <c r="CG78" s="166"/>
      <c r="CH78" s="166"/>
      <c r="CI78" s="166"/>
      <c r="CJ78" s="166"/>
      <c r="CK78" s="166"/>
      <c r="CL78" s="166"/>
      <c r="CM78" s="166"/>
      <c r="CN78" s="166"/>
      <c r="CO78" s="166"/>
      <c r="CP78" s="166"/>
      <c r="CQ78" s="166"/>
      <c r="CR78" s="166"/>
      <c r="CS78" s="166"/>
      <c r="CT78" s="166"/>
      <c r="CU78" s="166"/>
      <c r="CV78" s="166"/>
      <c r="CW78" s="166"/>
      <c r="CX78" s="167"/>
      <c r="CY78" s="70"/>
      <c r="CZ78" s="46"/>
      <c r="DA78" s="46"/>
      <c r="DB78" s="46"/>
      <c r="DC78" s="46"/>
      <c r="DD78" s="46"/>
      <c r="DE78" s="46"/>
      <c r="DF78" s="46"/>
    </row>
    <row r="79" spans="1:113" s="46" customFormat="1" ht="23.25" hidden="1" customHeight="1" x14ac:dyDescent="0.25">
      <c r="B79" s="78"/>
      <c r="C79" s="78"/>
      <c r="D79" s="43">
        <f t="shared" ref="D79:D93" si="2">IF($D56&lt;&gt;"",$D56,0)</f>
        <v>0</v>
      </c>
      <c r="E79" s="44"/>
      <c r="F79" s="216"/>
      <c r="G79" s="231"/>
      <c r="H79" s="231"/>
      <c r="I79" s="231"/>
      <c r="J79" s="231"/>
      <c r="K79" s="231"/>
      <c r="L79" s="217"/>
      <c r="M79" s="208" t="str">
        <f t="shared" ref="M79:M93" si="3">IF(M56="Θ", 9, IF(M56="Ο", 3, IF(M56="▲", 1, "0")))</f>
        <v>0</v>
      </c>
      <c r="N79" s="209"/>
      <c r="O79" s="209"/>
      <c r="P79" s="209"/>
      <c r="Q79" s="209"/>
      <c r="R79" s="210"/>
      <c r="S79" s="208" t="str">
        <f t="shared" ref="S79:S93" si="4">IF(S56="Θ", 9, IF(S56="Ο", 3, IF(S56="▲", 1, "0")))</f>
        <v>0</v>
      </c>
      <c r="T79" s="209"/>
      <c r="U79" s="209"/>
      <c r="V79" s="209"/>
      <c r="W79" s="209"/>
      <c r="X79" s="210"/>
      <c r="Y79" s="208" t="str">
        <f t="shared" ref="Y79:Y93" si="5">IF(Y56="Θ", 9, IF(Y56="Ο", 3, IF(Y56="▲", 1, "0")))</f>
        <v>0</v>
      </c>
      <c r="Z79" s="209"/>
      <c r="AA79" s="209"/>
      <c r="AB79" s="209"/>
      <c r="AC79" s="209"/>
      <c r="AD79" s="210"/>
      <c r="AE79" s="208" t="str">
        <f t="shared" ref="AE79:AE93" si="6">IF(AE56="Θ", 9, IF(AE56="Ο", 3, IF(AE56="▲", 1, "0")))</f>
        <v>0</v>
      </c>
      <c r="AF79" s="209"/>
      <c r="AG79" s="209"/>
      <c r="AH79" s="209"/>
      <c r="AI79" s="209"/>
      <c r="AJ79" s="210"/>
      <c r="AK79" s="208" t="str">
        <f t="shared" ref="AK79:AK93" si="7">IF(AK56="Θ", 9, IF(AK56="Ο", 3, IF(AK56="▲", 1, "0")))</f>
        <v>0</v>
      </c>
      <c r="AL79" s="209"/>
      <c r="AM79" s="209"/>
      <c r="AN79" s="209"/>
      <c r="AO79" s="209"/>
      <c r="AP79" s="210"/>
      <c r="AQ79" s="208" t="str">
        <f t="shared" ref="AQ79:AQ93" si="8">IF(AQ56="Θ", 9, IF(AQ56="Ο", 3, IF(AQ56="▲", 1, "0")))</f>
        <v>0</v>
      </c>
      <c r="AR79" s="209"/>
      <c r="AS79" s="209"/>
      <c r="AT79" s="209"/>
      <c r="AU79" s="209"/>
      <c r="AV79" s="210"/>
      <c r="AW79" s="208" t="str">
        <f t="shared" ref="AW79:AW93" si="9">IF(AW56="Θ", 9, IF(AW56="Ο", 3, IF(AW56="▲", 1, "0")))</f>
        <v>0</v>
      </c>
      <c r="AX79" s="209"/>
      <c r="AY79" s="209"/>
      <c r="AZ79" s="209"/>
      <c r="BA79" s="209"/>
      <c r="BB79" s="210"/>
      <c r="BC79" s="208" t="str">
        <f t="shared" ref="BC79:BC93" si="10">IF(BC56="Θ", 9, IF(BC56="Ο", 3, IF(BC56="▲", 1, "0")))</f>
        <v>0</v>
      </c>
      <c r="BD79" s="209"/>
      <c r="BE79" s="209"/>
      <c r="BF79" s="209"/>
      <c r="BG79" s="209"/>
      <c r="BH79" s="210"/>
      <c r="BI79" s="208" t="str">
        <f t="shared" ref="BI79:BI93" si="11">IF(BI56="Θ", 9, IF(BI56="Ο", 3, IF(BI56="▲", 1, "0")))</f>
        <v>0</v>
      </c>
      <c r="BJ79" s="209"/>
      <c r="BK79" s="209"/>
      <c r="BL79" s="209"/>
      <c r="BM79" s="209"/>
      <c r="BN79" s="210"/>
      <c r="BO79" s="208" t="str">
        <f t="shared" ref="BO79:BO93" si="12">IF(BO56="Θ", 9, IF(BO56="Ο", 3, IF(BO56="▲", 1, "0")))</f>
        <v>0</v>
      </c>
      <c r="BP79" s="209"/>
      <c r="BQ79" s="209"/>
      <c r="BR79" s="209"/>
      <c r="BS79" s="209"/>
      <c r="BT79" s="210"/>
      <c r="BU79" s="208" t="str">
        <f t="shared" ref="BU79:BU93" si="13">IF(BU56="Θ", 9, IF(BU56="Ο", 3, IF(BU56="▲", 1, "0")))</f>
        <v>0</v>
      </c>
      <c r="BV79" s="209"/>
      <c r="BW79" s="209"/>
      <c r="BX79" s="209"/>
      <c r="BY79" s="209"/>
      <c r="BZ79" s="210"/>
      <c r="CA79" s="208" t="str">
        <f t="shared" ref="CA79:CA93" si="14">IF(CA56="Θ", 9, IF(CA56="Ο", 3, IF(CA56="▲", 1, "0")))</f>
        <v>0</v>
      </c>
      <c r="CB79" s="209"/>
      <c r="CC79" s="209"/>
      <c r="CD79" s="209"/>
      <c r="CE79" s="209"/>
      <c r="CF79" s="210"/>
      <c r="CG79" s="208" t="str">
        <f t="shared" ref="CG79:CG93" si="15">IF(CG56="Θ", 9, IF(CG56="Ο", 3, IF(CG56="▲", 1, "0")))</f>
        <v>0</v>
      </c>
      <c r="CH79" s="209"/>
      <c r="CI79" s="209"/>
      <c r="CJ79" s="209"/>
      <c r="CK79" s="209"/>
      <c r="CL79" s="210"/>
      <c r="CM79" s="208" t="str">
        <f t="shared" ref="CM79:CM93" si="16">IF(CM56="Θ", 9, IF(CM56="Ο", 3, IF(CM56="▲", 1, "0")))</f>
        <v>0</v>
      </c>
      <c r="CN79" s="209"/>
      <c r="CO79" s="209"/>
      <c r="CP79" s="209"/>
      <c r="CQ79" s="209"/>
      <c r="CR79" s="210"/>
      <c r="CS79" s="208" t="str">
        <f t="shared" ref="CS79:CS93" si="17">IF(CS56="Θ", 9, IF(CS56="Ο", 3, IF(CS56="▲", 1, "0")))</f>
        <v>0</v>
      </c>
      <c r="CT79" s="209"/>
      <c r="CU79" s="209"/>
      <c r="CV79" s="209"/>
      <c r="CW79" s="209"/>
      <c r="CX79" s="210"/>
      <c r="CY79" s="70"/>
    </row>
    <row r="80" spans="1:113" s="46" customFormat="1" ht="23.25" hidden="1" customHeight="1" x14ac:dyDescent="0.25">
      <c r="B80" s="78"/>
      <c r="C80" s="78"/>
      <c r="D80" s="43">
        <f t="shared" si="2"/>
        <v>0</v>
      </c>
      <c r="E80" s="44"/>
      <c r="F80" s="216"/>
      <c r="G80" s="231"/>
      <c r="H80" s="231"/>
      <c r="I80" s="231"/>
      <c r="J80" s="231"/>
      <c r="K80" s="231"/>
      <c r="L80" s="217"/>
      <c r="M80" s="208" t="str">
        <f t="shared" si="3"/>
        <v>0</v>
      </c>
      <c r="N80" s="209"/>
      <c r="O80" s="209"/>
      <c r="P80" s="209"/>
      <c r="Q80" s="209"/>
      <c r="R80" s="210"/>
      <c r="S80" s="208" t="str">
        <f t="shared" si="4"/>
        <v>0</v>
      </c>
      <c r="T80" s="209"/>
      <c r="U80" s="209"/>
      <c r="V80" s="209"/>
      <c r="W80" s="209"/>
      <c r="X80" s="210"/>
      <c r="Y80" s="208" t="str">
        <f t="shared" si="5"/>
        <v>0</v>
      </c>
      <c r="Z80" s="209"/>
      <c r="AA80" s="209"/>
      <c r="AB80" s="209"/>
      <c r="AC80" s="209"/>
      <c r="AD80" s="210"/>
      <c r="AE80" s="208" t="str">
        <f t="shared" si="6"/>
        <v>0</v>
      </c>
      <c r="AF80" s="209"/>
      <c r="AG80" s="209"/>
      <c r="AH80" s="209"/>
      <c r="AI80" s="209"/>
      <c r="AJ80" s="210"/>
      <c r="AK80" s="208" t="str">
        <f t="shared" si="7"/>
        <v>0</v>
      </c>
      <c r="AL80" s="209"/>
      <c r="AM80" s="209"/>
      <c r="AN80" s="209"/>
      <c r="AO80" s="209"/>
      <c r="AP80" s="210"/>
      <c r="AQ80" s="208" t="str">
        <f t="shared" si="8"/>
        <v>0</v>
      </c>
      <c r="AR80" s="209"/>
      <c r="AS80" s="209"/>
      <c r="AT80" s="209"/>
      <c r="AU80" s="209"/>
      <c r="AV80" s="210"/>
      <c r="AW80" s="208" t="str">
        <f t="shared" si="9"/>
        <v>0</v>
      </c>
      <c r="AX80" s="209"/>
      <c r="AY80" s="209"/>
      <c r="AZ80" s="209"/>
      <c r="BA80" s="209"/>
      <c r="BB80" s="210"/>
      <c r="BC80" s="208" t="str">
        <f t="shared" si="10"/>
        <v>0</v>
      </c>
      <c r="BD80" s="209"/>
      <c r="BE80" s="209"/>
      <c r="BF80" s="209"/>
      <c r="BG80" s="209"/>
      <c r="BH80" s="210"/>
      <c r="BI80" s="208" t="str">
        <f t="shared" si="11"/>
        <v>0</v>
      </c>
      <c r="BJ80" s="209"/>
      <c r="BK80" s="209"/>
      <c r="BL80" s="209"/>
      <c r="BM80" s="209"/>
      <c r="BN80" s="210"/>
      <c r="BO80" s="208" t="str">
        <f t="shared" si="12"/>
        <v>0</v>
      </c>
      <c r="BP80" s="209"/>
      <c r="BQ80" s="209"/>
      <c r="BR80" s="209"/>
      <c r="BS80" s="209"/>
      <c r="BT80" s="210"/>
      <c r="BU80" s="208" t="str">
        <f t="shared" si="13"/>
        <v>0</v>
      </c>
      <c r="BV80" s="209"/>
      <c r="BW80" s="209"/>
      <c r="BX80" s="209"/>
      <c r="BY80" s="209"/>
      <c r="BZ80" s="210"/>
      <c r="CA80" s="208" t="str">
        <f t="shared" si="14"/>
        <v>0</v>
      </c>
      <c r="CB80" s="209"/>
      <c r="CC80" s="209"/>
      <c r="CD80" s="209"/>
      <c r="CE80" s="209"/>
      <c r="CF80" s="210"/>
      <c r="CG80" s="208" t="str">
        <f t="shared" si="15"/>
        <v>0</v>
      </c>
      <c r="CH80" s="209"/>
      <c r="CI80" s="209"/>
      <c r="CJ80" s="209"/>
      <c r="CK80" s="209"/>
      <c r="CL80" s="210"/>
      <c r="CM80" s="208" t="str">
        <f t="shared" si="16"/>
        <v>0</v>
      </c>
      <c r="CN80" s="209"/>
      <c r="CO80" s="209"/>
      <c r="CP80" s="209"/>
      <c r="CQ80" s="209"/>
      <c r="CR80" s="210"/>
      <c r="CS80" s="208" t="str">
        <f t="shared" si="17"/>
        <v>0</v>
      </c>
      <c r="CT80" s="209"/>
      <c r="CU80" s="209"/>
      <c r="CV80" s="209"/>
      <c r="CW80" s="209"/>
      <c r="CX80" s="210"/>
      <c r="CY80" s="70"/>
    </row>
    <row r="81" spans="2:110" s="46" customFormat="1" ht="23.25" hidden="1" customHeight="1" x14ac:dyDescent="0.25">
      <c r="B81" s="78"/>
      <c r="C81" s="78"/>
      <c r="D81" s="43">
        <f t="shared" si="2"/>
        <v>0</v>
      </c>
      <c r="E81" s="44"/>
      <c r="F81" s="216"/>
      <c r="G81" s="231"/>
      <c r="H81" s="231"/>
      <c r="I81" s="231"/>
      <c r="J81" s="231"/>
      <c r="K81" s="231"/>
      <c r="L81" s="217"/>
      <c r="M81" s="208" t="str">
        <f t="shared" si="3"/>
        <v>0</v>
      </c>
      <c r="N81" s="209"/>
      <c r="O81" s="209"/>
      <c r="P81" s="209"/>
      <c r="Q81" s="209"/>
      <c r="R81" s="210"/>
      <c r="S81" s="208" t="str">
        <f t="shared" si="4"/>
        <v>0</v>
      </c>
      <c r="T81" s="209"/>
      <c r="U81" s="209"/>
      <c r="V81" s="209"/>
      <c r="W81" s="209"/>
      <c r="X81" s="210"/>
      <c r="Y81" s="208" t="str">
        <f t="shared" si="5"/>
        <v>0</v>
      </c>
      <c r="Z81" s="209"/>
      <c r="AA81" s="209"/>
      <c r="AB81" s="209"/>
      <c r="AC81" s="209"/>
      <c r="AD81" s="210"/>
      <c r="AE81" s="208" t="str">
        <f t="shared" si="6"/>
        <v>0</v>
      </c>
      <c r="AF81" s="209"/>
      <c r="AG81" s="209"/>
      <c r="AH81" s="209"/>
      <c r="AI81" s="209"/>
      <c r="AJ81" s="210"/>
      <c r="AK81" s="208" t="str">
        <f t="shared" si="7"/>
        <v>0</v>
      </c>
      <c r="AL81" s="209"/>
      <c r="AM81" s="209"/>
      <c r="AN81" s="209"/>
      <c r="AO81" s="209"/>
      <c r="AP81" s="210"/>
      <c r="AQ81" s="208" t="str">
        <f t="shared" si="8"/>
        <v>0</v>
      </c>
      <c r="AR81" s="209"/>
      <c r="AS81" s="209"/>
      <c r="AT81" s="209"/>
      <c r="AU81" s="209"/>
      <c r="AV81" s="210"/>
      <c r="AW81" s="208" t="str">
        <f t="shared" si="9"/>
        <v>0</v>
      </c>
      <c r="AX81" s="209"/>
      <c r="AY81" s="209"/>
      <c r="AZ81" s="209"/>
      <c r="BA81" s="209"/>
      <c r="BB81" s="210"/>
      <c r="BC81" s="208" t="str">
        <f t="shared" si="10"/>
        <v>0</v>
      </c>
      <c r="BD81" s="209"/>
      <c r="BE81" s="209"/>
      <c r="BF81" s="209"/>
      <c r="BG81" s="209"/>
      <c r="BH81" s="210"/>
      <c r="BI81" s="208" t="str">
        <f t="shared" si="11"/>
        <v>0</v>
      </c>
      <c r="BJ81" s="209"/>
      <c r="BK81" s="209"/>
      <c r="BL81" s="209"/>
      <c r="BM81" s="209"/>
      <c r="BN81" s="210"/>
      <c r="BO81" s="208" t="str">
        <f t="shared" si="12"/>
        <v>0</v>
      </c>
      <c r="BP81" s="209"/>
      <c r="BQ81" s="209"/>
      <c r="BR81" s="209"/>
      <c r="BS81" s="209"/>
      <c r="BT81" s="210"/>
      <c r="BU81" s="208" t="str">
        <f t="shared" si="13"/>
        <v>0</v>
      </c>
      <c r="BV81" s="209"/>
      <c r="BW81" s="209"/>
      <c r="BX81" s="209"/>
      <c r="BY81" s="209"/>
      <c r="BZ81" s="210"/>
      <c r="CA81" s="208" t="str">
        <f t="shared" si="14"/>
        <v>0</v>
      </c>
      <c r="CB81" s="209"/>
      <c r="CC81" s="209"/>
      <c r="CD81" s="209"/>
      <c r="CE81" s="209"/>
      <c r="CF81" s="210"/>
      <c r="CG81" s="208" t="str">
        <f t="shared" si="15"/>
        <v>0</v>
      </c>
      <c r="CH81" s="209"/>
      <c r="CI81" s="209"/>
      <c r="CJ81" s="209"/>
      <c r="CK81" s="209"/>
      <c r="CL81" s="210"/>
      <c r="CM81" s="208" t="str">
        <f t="shared" si="16"/>
        <v>0</v>
      </c>
      <c r="CN81" s="209"/>
      <c r="CO81" s="209"/>
      <c r="CP81" s="209"/>
      <c r="CQ81" s="209"/>
      <c r="CR81" s="210"/>
      <c r="CS81" s="208" t="str">
        <f t="shared" si="17"/>
        <v>0</v>
      </c>
      <c r="CT81" s="209"/>
      <c r="CU81" s="209"/>
      <c r="CV81" s="209"/>
      <c r="CW81" s="209"/>
      <c r="CX81" s="210"/>
      <c r="CY81" s="70"/>
    </row>
    <row r="82" spans="2:110" s="46" customFormat="1" ht="23.25" hidden="1" customHeight="1" x14ac:dyDescent="0.25">
      <c r="B82" s="78"/>
      <c r="C82" s="78"/>
      <c r="D82" s="43">
        <f t="shared" si="2"/>
        <v>0</v>
      </c>
      <c r="E82" s="44"/>
      <c r="F82" s="216"/>
      <c r="G82" s="231"/>
      <c r="H82" s="231"/>
      <c r="I82" s="231"/>
      <c r="J82" s="231"/>
      <c r="K82" s="231"/>
      <c r="L82" s="217"/>
      <c r="M82" s="208" t="str">
        <f t="shared" si="3"/>
        <v>0</v>
      </c>
      <c r="N82" s="209"/>
      <c r="O82" s="209"/>
      <c r="P82" s="209"/>
      <c r="Q82" s="209"/>
      <c r="R82" s="210"/>
      <c r="S82" s="208" t="str">
        <f t="shared" si="4"/>
        <v>0</v>
      </c>
      <c r="T82" s="209"/>
      <c r="U82" s="209"/>
      <c r="V82" s="209"/>
      <c r="W82" s="209"/>
      <c r="X82" s="210"/>
      <c r="Y82" s="208" t="str">
        <f t="shared" si="5"/>
        <v>0</v>
      </c>
      <c r="Z82" s="209"/>
      <c r="AA82" s="209"/>
      <c r="AB82" s="209"/>
      <c r="AC82" s="209"/>
      <c r="AD82" s="210"/>
      <c r="AE82" s="208" t="str">
        <f t="shared" si="6"/>
        <v>0</v>
      </c>
      <c r="AF82" s="209"/>
      <c r="AG82" s="209"/>
      <c r="AH82" s="209"/>
      <c r="AI82" s="209"/>
      <c r="AJ82" s="210"/>
      <c r="AK82" s="208" t="str">
        <f t="shared" si="7"/>
        <v>0</v>
      </c>
      <c r="AL82" s="209"/>
      <c r="AM82" s="209"/>
      <c r="AN82" s="209"/>
      <c r="AO82" s="209"/>
      <c r="AP82" s="210"/>
      <c r="AQ82" s="208" t="str">
        <f t="shared" si="8"/>
        <v>0</v>
      </c>
      <c r="AR82" s="209"/>
      <c r="AS82" s="209"/>
      <c r="AT82" s="209"/>
      <c r="AU82" s="209"/>
      <c r="AV82" s="210"/>
      <c r="AW82" s="208" t="str">
        <f t="shared" si="9"/>
        <v>0</v>
      </c>
      <c r="AX82" s="209"/>
      <c r="AY82" s="209"/>
      <c r="AZ82" s="209"/>
      <c r="BA82" s="209"/>
      <c r="BB82" s="210"/>
      <c r="BC82" s="208" t="str">
        <f t="shared" si="10"/>
        <v>0</v>
      </c>
      <c r="BD82" s="209"/>
      <c r="BE82" s="209"/>
      <c r="BF82" s="209"/>
      <c r="BG82" s="209"/>
      <c r="BH82" s="210"/>
      <c r="BI82" s="208" t="str">
        <f t="shared" si="11"/>
        <v>0</v>
      </c>
      <c r="BJ82" s="209"/>
      <c r="BK82" s="209"/>
      <c r="BL82" s="209"/>
      <c r="BM82" s="209"/>
      <c r="BN82" s="210"/>
      <c r="BO82" s="208" t="str">
        <f t="shared" si="12"/>
        <v>0</v>
      </c>
      <c r="BP82" s="209"/>
      <c r="BQ82" s="209"/>
      <c r="BR82" s="209"/>
      <c r="BS82" s="209"/>
      <c r="BT82" s="210"/>
      <c r="BU82" s="208" t="str">
        <f t="shared" si="13"/>
        <v>0</v>
      </c>
      <c r="BV82" s="209"/>
      <c r="BW82" s="209"/>
      <c r="BX82" s="209"/>
      <c r="BY82" s="209"/>
      <c r="BZ82" s="210"/>
      <c r="CA82" s="208" t="str">
        <f t="shared" si="14"/>
        <v>0</v>
      </c>
      <c r="CB82" s="209"/>
      <c r="CC82" s="209"/>
      <c r="CD82" s="209"/>
      <c r="CE82" s="209"/>
      <c r="CF82" s="210"/>
      <c r="CG82" s="208" t="str">
        <f t="shared" si="15"/>
        <v>0</v>
      </c>
      <c r="CH82" s="209"/>
      <c r="CI82" s="209"/>
      <c r="CJ82" s="209"/>
      <c r="CK82" s="209"/>
      <c r="CL82" s="210"/>
      <c r="CM82" s="208" t="str">
        <f t="shared" si="16"/>
        <v>0</v>
      </c>
      <c r="CN82" s="209"/>
      <c r="CO82" s="209"/>
      <c r="CP82" s="209"/>
      <c r="CQ82" s="209"/>
      <c r="CR82" s="210"/>
      <c r="CS82" s="208" t="str">
        <f t="shared" si="17"/>
        <v>0</v>
      </c>
      <c r="CT82" s="209"/>
      <c r="CU82" s="209"/>
      <c r="CV82" s="209"/>
      <c r="CW82" s="209"/>
      <c r="CX82" s="210"/>
      <c r="CY82" s="70"/>
    </row>
    <row r="83" spans="2:110" s="46" customFormat="1" ht="23.25" hidden="1" customHeight="1" x14ac:dyDescent="0.25">
      <c r="B83" s="78"/>
      <c r="C83" s="78"/>
      <c r="D83" s="43">
        <f t="shared" si="2"/>
        <v>0</v>
      </c>
      <c r="E83" s="44"/>
      <c r="F83" s="216"/>
      <c r="G83" s="231"/>
      <c r="H83" s="231"/>
      <c r="I83" s="231"/>
      <c r="J83" s="231"/>
      <c r="K83" s="231"/>
      <c r="L83" s="217"/>
      <c r="M83" s="208" t="str">
        <f t="shared" si="3"/>
        <v>0</v>
      </c>
      <c r="N83" s="209"/>
      <c r="O83" s="209"/>
      <c r="P83" s="209"/>
      <c r="Q83" s="209"/>
      <c r="R83" s="210"/>
      <c r="S83" s="208" t="str">
        <f t="shared" si="4"/>
        <v>0</v>
      </c>
      <c r="T83" s="209"/>
      <c r="U83" s="209"/>
      <c r="V83" s="209"/>
      <c r="W83" s="209"/>
      <c r="X83" s="210"/>
      <c r="Y83" s="208" t="str">
        <f t="shared" si="5"/>
        <v>0</v>
      </c>
      <c r="Z83" s="209"/>
      <c r="AA83" s="209"/>
      <c r="AB83" s="209"/>
      <c r="AC83" s="209"/>
      <c r="AD83" s="210"/>
      <c r="AE83" s="208" t="str">
        <f t="shared" si="6"/>
        <v>0</v>
      </c>
      <c r="AF83" s="209"/>
      <c r="AG83" s="209"/>
      <c r="AH83" s="209"/>
      <c r="AI83" s="209"/>
      <c r="AJ83" s="210"/>
      <c r="AK83" s="208" t="str">
        <f t="shared" si="7"/>
        <v>0</v>
      </c>
      <c r="AL83" s="209"/>
      <c r="AM83" s="209"/>
      <c r="AN83" s="209"/>
      <c r="AO83" s="209"/>
      <c r="AP83" s="210"/>
      <c r="AQ83" s="208" t="str">
        <f t="shared" si="8"/>
        <v>0</v>
      </c>
      <c r="AR83" s="209"/>
      <c r="AS83" s="209"/>
      <c r="AT83" s="209"/>
      <c r="AU83" s="209"/>
      <c r="AV83" s="210"/>
      <c r="AW83" s="208" t="str">
        <f t="shared" si="9"/>
        <v>0</v>
      </c>
      <c r="AX83" s="209"/>
      <c r="AY83" s="209"/>
      <c r="AZ83" s="209"/>
      <c r="BA83" s="209"/>
      <c r="BB83" s="210"/>
      <c r="BC83" s="208" t="str">
        <f t="shared" si="10"/>
        <v>0</v>
      </c>
      <c r="BD83" s="209"/>
      <c r="BE83" s="209"/>
      <c r="BF83" s="209"/>
      <c r="BG83" s="209"/>
      <c r="BH83" s="210"/>
      <c r="BI83" s="208" t="str">
        <f t="shared" si="11"/>
        <v>0</v>
      </c>
      <c r="BJ83" s="209"/>
      <c r="BK83" s="209"/>
      <c r="BL83" s="209"/>
      <c r="BM83" s="209"/>
      <c r="BN83" s="210"/>
      <c r="BO83" s="208" t="str">
        <f t="shared" si="12"/>
        <v>0</v>
      </c>
      <c r="BP83" s="209"/>
      <c r="BQ83" s="209"/>
      <c r="BR83" s="209"/>
      <c r="BS83" s="209"/>
      <c r="BT83" s="210"/>
      <c r="BU83" s="208" t="str">
        <f t="shared" si="13"/>
        <v>0</v>
      </c>
      <c r="BV83" s="209"/>
      <c r="BW83" s="209"/>
      <c r="BX83" s="209"/>
      <c r="BY83" s="209"/>
      <c r="BZ83" s="210"/>
      <c r="CA83" s="208" t="str">
        <f t="shared" si="14"/>
        <v>0</v>
      </c>
      <c r="CB83" s="209"/>
      <c r="CC83" s="209"/>
      <c r="CD83" s="209"/>
      <c r="CE83" s="209"/>
      <c r="CF83" s="210"/>
      <c r="CG83" s="208" t="str">
        <f t="shared" si="15"/>
        <v>0</v>
      </c>
      <c r="CH83" s="209"/>
      <c r="CI83" s="209"/>
      <c r="CJ83" s="209"/>
      <c r="CK83" s="209"/>
      <c r="CL83" s="210"/>
      <c r="CM83" s="208" t="str">
        <f t="shared" si="16"/>
        <v>0</v>
      </c>
      <c r="CN83" s="209"/>
      <c r="CO83" s="209"/>
      <c r="CP83" s="209"/>
      <c r="CQ83" s="209"/>
      <c r="CR83" s="210"/>
      <c r="CS83" s="208" t="str">
        <f t="shared" si="17"/>
        <v>0</v>
      </c>
      <c r="CT83" s="209"/>
      <c r="CU83" s="209"/>
      <c r="CV83" s="209"/>
      <c r="CW83" s="209"/>
      <c r="CX83" s="210"/>
      <c r="CY83" s="70"/>
    </row>
    <row r="84" spans="2:110" s="46" customFormat="1" ht="23.25" hidden="1" customHeight="1" x14ac:dyDescent="0.25">
      <c r="B84" s="78"/>
      <c r="C84" s="78"/>
      <c r="D84" s="43">
        <f t="shared" si="2"/>
        <v>0</v>
      </c>
      <c r="E84" s="44"/>
      <c r="F84" s="216"/>
      <c r="G84" s="231"/>
      <c r="H84" s="231"/>
      <c r="I84" s="231"/>
      <c r="J84" s="231"/>
      <c r="K84" s="231"/>
      <c r="L84" s="217"/>
      <c r="M84" s="208" t="str">
        <f t="shared" si="3"/>
        <v>0</v>
      </c>
      <c r="N84" s="209"/>
      <c r="O84" s="209"/>
      <c r="P84" s="209"/>
      <c r="Q84" s="209"/>
      <c r="R84" s="210"/>
      <c r="S84" s="208" t="str">
        <f t="shared" si="4"/>
        <v>0</v>
      </c>
      <c r="T84" s="209"/>
      <c r="U84" s="209"/>
      <c r="V84" s="209"/>
      <c r="W84" s="209"/>
      <c r="X84" s="210"/>
      <c r="Y84" s="208" t="str">
        <f t="shared" si="5"/>
        <v>0</v>
      </c>
      <c r="Z84" s="209"/>
      <c r="AA84" s="209"/>
      <c r="AB84" s="209"/>
      <c r="AC84" s="209"/>
      <c r="AD84" s="210"/>
      <c r="AE84" s="208" t="str">
        <f t="shared" si="6"/>
        <v>0</v>
      </c>
      <c r="AF84" s="209"/>
      <c r="AG84" s="209"/>
      <c r="AH84" s="209"/>
      <c r="AI84" s="209"/>
      <c r="AJ84" s="210"/>
      <c r="AK84" s="208" t="str">
        <f t="shared" si="7"/>
        <v>0</v>
      </c>
      <c r="AL84" s="209"/>
      <c r="AM84" s="209"/>
      <c r="AN84" s="209"/>
      <c r="AO84" s="209"/>
      <c r="AP84" s="210"/>
      <c r="AQ84" s="208" t="str">
        <f t="shared" si="8"/>
        <v>0</v>
      </c>
      <c r="AR84" s="209"/>
      <c r="AS84" s="209"/>
      <c r="AT84" s="209"/>
      <c r="AU84" s="209"/>
      <c r="AV84" s="210"/>
      <c r="AW84" s="208" t="str">
        <f t="shared" si="9"/>
        <v>0</v>
      </c>
      <c r="AX84" s="209"/>
      <c r="AY84" s="209"/>
      <c r="AZ84" s="209"/>
      <c r="BA84" s="209"/>
      <c r="BB84" s="210"/>
      <c r="BC84" s="208" t="str">
        <f t="shared" si="10"/>
        <v>0</v>
      </c>
      <c r="BD84" s="209"/>
      <c r="BE84" s="209"/>
      <c r="BF84" s="209"/>
      <c r="BG84" s="209"/>
      <c r="BH84" s="210"/>
      <c r="BI84" s="208" t="str">
        <f t="shared" si="11"/>
        <v>0</v>
      </c>
      <c r="BJ84" s="209"/>
      <c r="BK84" s="209"/>
      <c r="BL84" s="209"/>
      <c r="BM84" s="209"/>
      <c r="BN84" s="210"/>
      <c r="BO84" s="208" t="str">
        <f t="shared" si="12"/>
        <v>0</v>
      </c>
      <c r="BP84" s="209"/>
      <c r="BQ84" s="209"/>
      <c r="BR84" s="209"/>
      <c r="BS84" s="209"/>
      <c r="BT84" s="210"/>
      <c r="BU84" s="208" t="str">
        <f t="shared" si="13"/>
        <v>0</v>
      </c>
      <c r="BV84" s="209"/>
      <c r="BW84" s="209"/>
      <c r="BX84" s="209"/>
      <c r="BY84" s="209"/>
      <c r="BZ84" s="210"/>
      <c r="CA84" s="208" t="str">
        <f t="shared" si="14"/>
        <v>0</v>
      </c>
      <c r="CB84" s="209"/>
      <c r="CC84" s="209"/>
      <c r="CD84" s="209"/>
      <c r="CE84" s="209"/>
      <c r="CF84" s="210"/>
      <c r="CG84" s="208" t="str">
        <f t="shared" si="15"/>
        <v>0</v>
      </c>
      <c r="CH84" s="209"/>
      <c r="CI84" s="209"/>
      <c r="CJ84" s="209"/>
      <c r="CK84" s="209"/>
      <c r="CL84" s="210"/>
      <c r="CM84" s="208" t="str">
        <f t="shared" si="16"/>
        <v>0</v>
      </c>
      <c r="CN84" s="209"/>
      <c r="CO84" s="209"/>
      <c r="CP84" s="209"/>
      <c r="CQ84" s="209"/>
      <c r="CR84" s="210"/>
      <c r="CS84" s="208" t="str">
        <f t="shared" si="17"/>
        <v>0</v>
      </c>
      <c r="CT84" s="209"/>
      <c r="CU84" s="209"/>
      <c r="CV84" s="209"/>
      <c r="CW84" s="209"/>
      <c r="CX84" s="210"/>
      <c r="CY84" s="70"/>
    </row>
    <row r="85" spans="2:110" s="46" customFormat="1" ht="23.25" hidden="1" customHeight="1" x14ac:dyDescent="0.25">
      <c r="B85" s="78"/>
      <c r="C85" s="78"/>
      <c r="D85" s="43">
        <f t="shared" si="2"/>
        <v>0</v>
      </c>
      <c r="E85" s="44"/>
      <c r="F85" s="216"/>
      <c r="G85" s="231"/>
      <c r="H85" s="231"/>
      <c r="I85" s="231"/>
      <c r="J85" s="231"/>
      <c r="K85" s="231"/>
      <c r="L85" s="217"/>
      <c r="M85" s="208" t="str">
        <f t="shared" si="3"/>
        <v>0</v>
      </c>
      <c r="N85" s="209"/>
      <c r="O85" s="209"/>
      <c r="P85" s="209"/>
      <c r="Q85" s="209"/>
      <c r="R85" s="210"/>
      <c r="S85" s="208" t="str">
        <f t="shared" si="4"/>
        <v>0</v>
      </c>
      <c r="T85" s="209"/>
      <c r="U85" s="209"/>
      <c r="V85" s="209"/>
      <c r="W85" s="209"/>
      <c r="X85" s="210"/>
      <c r="Y85" s="208" t="str">
        <f t="shared" si="5"/>
        <v>0</v>
      </c>
      <c r="Z85" s="209"/>
      <c r="AA85" s="209"/>
      <c r="AB85" s="209"/>
      <c r="AC85" s="209"/>
      <c r="AD85" s="210"/>
      <c r="AE85" s="208" t="str">
        <f t="shared" si="6"/>
        <v>0</v>
      </c>
      <c r="AF85" s="209"/>
      <c r="AG85" s="209"/>
      <c r="AH85" s="209"/>
      <c r="AI85" s="209"/>
      <c r="AJ85" s="210"/>
      <c r="AK85" s="208" t="str">
        <f t="shared" si="7"/>
        <v>0</v>
      </c>
      <c r="AL85" s="209"/>
      <c r="AM85" s="209"/>
      <c r="AN85" s="209"/>
      <c r="AO85" s="209"/>
      <c r="AP85" s="210"/>
      <c r="AQ85" s="208" t="str">
        <f t="shared" si="8"/>
        <v>0</v>
      </c>
      <c r="AR85" s="209"/>
      <c r="AS85" s="209"/>
      <c r="AT85" s="209"/>
      <c r="AU85" s="209"/>
      <c r="AV85" s="210"/>
      <c r="AW85" s="208" t="str">
        <f t="shared" si="9"/>
        <v>0</v>
      </c>
      <c r="AX85" s="209"/>
      <c r="AY85" s="209"/>
      <c r="AZ85" s="209"/>
      <c r="BA85" s="209"/>
      <c r="BB85" s="210"/>
      <c r="BC85" s="208" t="str">
        <f t="shared" si="10"/>
        <v>0</v>
      </c>
      <c r="BD85" s="209"/>
      <c r="BE85" s="209"/>
      <c r="BF85" s="209"/>
      <c r="BG85" s="209"/>
      <c r="BH85" s="210"/>
      <c r="BI85" s="208" t="str">
        <f t="shared" si="11"/>
        <v>0</v>
      </c>
      <c r="BJ85" s="209"/>
      <c r="BK85" s="209"/>
      <c r="BL85" s="209"/>
      <c r="BM85" s="209"/>
      <c r="BN85" s="210"/>
      <c r="BO85" s="208" t="str">
        <f t="shared" si="12"/>
        <v>0</v>
      </c>
      <c r="BP85" s="209"/>
      <c r="BQ85" s="209"/>
      <c r="BR85" s="209"/>
      <c r="BS85" s="209"/>
      <c r="BT85" s="210"/>
      <c r="BU85" s="208" t="str">
        <f t="shared" si="13"/>
        <v>0</v>
      </c>
      <c r="BV85" s="209"/>
      <c r="BW85" s="209"/>
      <c r="BX85" s="209"/>
      <c r="BY85" s="209"/>
      <c r="BZ85" s="210"/>
      <c r="CA85" s="208" t="str">
        <f t="shared" si="14"/>
        <v>0</v>
      </c>
      <c r="CB85" s="209"/>
      <c r="CC85" s="209"/>
      <c r="CD85" s="209"/>
      <c r="CE85" s="209"/>
      <c r="CF85" s="210"/>
      <c r="CG85" s="208" t="str">
        <f t="shared" si="15"/>
        <v>0</v>
      </c>
      <c r="CH85" s="209"/>
      <c r="CI85" s="209"/>
      <c r="CJ85" s="209"/>
      <c r="CK85" s="209"/>
      <c r="CL85" s="210"/>
      <c r="CM85" s="208" t="str">
        <f t="shared" si="16"/>
        <v>0</v>
      </c>
      <c r="CN85" s="209"/>
      <c r="CO85" s="209"/>
      <c r="CP85" s="209"/>
      <c r="CQ85" s="209"/>
      <c r="CR85" s="210"/>
      <c r="CS85" s="208" t="str">
        <f t="shared" si="17"/>
        <v>0</v>
      </c>
      <c r="CT85" s="209"/>
      <c r="CU85" s="209"/>
      <c r="CV85" s="209"/>
      <c r="CW85" s="209"/>
      <c r="CX85" s="210"/>
      <c r="CY85" s="70"/>
    </row>
    <row r="86" spans="2:110" s="46" customFormat="1" ht="23.25" hidden="1" customHeight="1" x14ac:dyDescent="0.25">
      <c r="B86" s="78"/>
      <c r="C86" s="78"/>
      <c r="D86" s="43">
        <f t="shared" si="2"/>
        <v>0</v>
      </c>
      <c r="E86" s="44"/>
      <c r="F86" s="216"/>
      <c r="G86" s="231"/>
      <c r="H86" s="231"/>
      <c r="I86" s="231"/>
      <c r="J86" s="231"/>
      <c r="K86" s="231"/>
      <c r="L86" s="217"/>
      <c r="M86" s="208" t="str">
        <f t="shared" si="3"/>
        <v>0</v>
      </c>
      <c r="N86" s="209"/>
      <c r="O86" s="209"/>
      <c r="P86" s="209"/>
      <c r="Q86" s="209"/>
      <c r="R86" s="210"/>
      <c r="S86" s="208" t="str">
        <f t="shared" si="4"/>
        <v>0</v>
      </c>
      <c r="T86" s="209"/>
      <c r="U86" s="209"/>
      <c r="V86" s="209"/>
      <c r="W86" s="209"/>
      <c r="X86" s="210"/>
      <c r="Y86" s="208" t="str">
        <f t="shared" si="5"/>
        <v>0</v>
      </c>
      <c r="Z86" s="209"/>
      <c r="AA86" s="209"/>
      <c r="AB86" s="209"/>
      <c r="AC86" s="209"/>
      <c r="AD86" s="210"/>
      <c r="AE86" s="208" t="str">
        <f t="shared" si="6"/>
        <v>0</v>
      </c>
      <c r="AF86" s="209"/>
      <c r="AG86" s="209"/>
      <c r="AH86" s="209"/>
      <c r="AI86" s="209"/>
      <c r="AJ86" s="210"/>
      <c r="AK86" s="208" t="str">
        <f t="shared" si="7"/>
        <v>0</v>
      </c>
      <c r="AL86" s="209"/>
      <c r="AM86" s="209"/>
      <c r="AN86" s="209"/>
      <c r="AO86" s="209"/>
      <c r="AP86" s="210"/>
      <c r="AQ86" s="208" t="str">
        <f t="shared" si="8"/>
        <v>0</v>
      </c>
      <c r="AR86" s="209"/>
      <c r="AS86" s="209"/>
      <c r="AT86" s="209"/>
      <c r="AU86" s="209"/>
      <c r="AV86" s="210"/>
      <c r="AW86" s="208" t="str">
        <f t="shared" si="9"/>
        <v>0</v>
      </c>
      <c r="AX86" s="209"/>
      <c r="AY86" s="209"/>
      <c r="AZ86" s="209"/>
      <c r="BA86" s="209"/>
      <c r="BB86" s="210"/>
      <c r="BC86" s="208" t="str">
        <f t="shared" si="10"/>
        <v>0</v>
      </c>
      <c r="BD86" s="209"/>
      <c r="BE86" s="209"/>
      <c r="BF86" s="209"/>
      <c r="BG86" s="209"/>
      <c r="BH86" s="210"/>
      <c r="BI86" s="208" t="str">
        <f t="shared" si="11"/>
        <v>0</v>
      </c>
      <c r="BJ86" s="209"/>
      <c r="BK86" s="209"/>
      <c r="BL86" s="209"/>
      <c r="BM86" s="209"/>
      <c r="BN86" s="210"/>
      <c r="BO86" s="208" t="str">
        <f t="shared" si="12"/>
        <v>0</v>
      </c>
      <c r="BP86" s="209"/>
      <c r="BQ86" s="209"/>
      <c r="BR86" s="209"/>
      <c r="BS86" s="209"/>
      <c r="BT86" s="210"/>
      <c r="BU86" s="208" t="str">
        <f t="shared" si="13"/>
        <v>0</v>
      </c>
      <c r="BV86" s="209"/>
      <c r="BW86" s="209"/>
      <c r="BX86" s="209"/>
      <c r="BY86" s="209"/>
      <c r="BZ86" s="210"/>
      <c r="CA86" s="208" t="str">
        <f t="shared" si="14"/>
        <v>0</v>
      </c>
      <c r="CB86" s="209"/>
      <c r="CC86" s="209"/>
      <c r="CD86" s="209"/>
      <c r="CE86" s="209"/>
      <c r="CF86" s="210"/>
      <c r="CG86" s="208" t="str">
        <f t="shared" si="15"/>
        <v>0</v>
      </c>
      <c r="CH86" s="209"/>
      <c r="CI86" s="209"/>
      <c r="CJ86" s="209"/>
      <c r="CK86" s="209"/>
      <c r="CL86" s="210"/>
      <c r="CM86" s="208" t="str">
        <f t="shared" si="16"/>
        <v>0</v>
      </c>
      <c r="CN86" s="209"/>
      <c r="CO86" s="209"/>
      <c r="CP86" s="209"/>
      <c r="CQ86" s="209"/>
      <c r="CR86" s="210"/>
      <c r="CS86" s="208" t="str">
        <f t="shared" si="17"/>
        <v>0</v>
      </c>
      <c r="CT86" s="209"/>
      <c r="CU86" s="209"/>
      <c r="CV86" s="209"/>
      <c r="CW86" s="209"/>
      <c r="CX86" s="210"/>
      <c r="CY86" s="70"/>
    </row>
    <row r="87" spans="2:110" s="46" customFormat="1" ht="23.25" hidden="1" customHeight="1" x14ac:dyDescent="0.25">
      <c r="B87" s="78"/>
      <c r="C87" s="78"/>
      <c r="D87" s="43">
        <f t="shared" si="2"/>
        <v>0</v>
      </c>
      <c r="E87" s="44"/>
      <c r="F87" s="216"/>
      <c r="G87" s="231"/>
      <c r="H87" s="231"/>
      <c r="I87" s="231"/>
      <c r="J87" s="231"/>
      <c r="K87" s="231"/>
      <c r="L87" s="217"/>
      <c r="M87" s="208" t="str">
        <f t="shared" si="3"/>
        <v>0</v>
      </c>
      <c r="N87" s="209"/>
      <c r="O87" s="209"/>
      <c r="P87" s="209"/>
      <c r="Q87" s="209"/>
      <c r="R87" s="210"/>
      <c r="S87" s="208" t="str">
        <f t="shared" si="4"/>
        <v>0</v>
      </c>
      <c r="T87" s="209"/>
      <c r="U87" s="209"/>
      <c r="V87" s="209"/>
      <c r="W87" s="209"/>
      <c r="X87" s="210"/>
      <c r="Y87" s="208" t="str">
        <f t="shared" si="5"/>
        <v>0</v>
      </c>
      <c r="Z87" s="209"/>
      <c r="AA87" s="209"/>
      <c r="AB87" s="209"/>
      <c r="AC87" s="209"/>
      <c r="AD87" s="210"/>
      <c r="AE87" s="208" t="str">
        <f t="shared" si="6"/>
        <v>0</v>
      </c>
      <c r="AF87" s="209"/>
      <c r="AG87" s="209"/>
      <c r="AH87" s="209"/>
      <c r="AI87" s="209"/>
      <c r="AJ87" s="210"/>
      <c r="AK87" s="208" t="str">
        <f t="shared" si="7"/>
        <v>0</v>
      </c>
      <c r="AL87" s="209"/>
      <c r="AM87" s="209"/>
      <c r="AN87" s="209"/>
      <c r="AO87" s="209"/>
      <c r="AP87" s="210"/>
      <c r="AQ87" s="208" t="str">
        <f t="shared" si="8"/>
        <v>0</v>
      </c>
      <c r="AR87" s="209"/>
      <c r="AS87" s="209"/>
      <c r="AT87" s="209"/>
      <c r="AU87" s="209"/>
      <c r="AV87" s="210"/>
      <c r="AW87" s="208" t="str">
        <f t="shared" si="9"/>
        <v>0</v>
      </c>
      <c r="AX87" s="209"/>
      <c r="AY87" s="209"/>
      <c r="AZ87" s="209"/>
      <c r="BA87" s="209"/>
      <c r="BB87" s="210"/>
      <c r="BC87" s="208" t="str">
        <f t="shared" si="10"/>
        <v>0</v>
      </c>
      <c r="BD87" s="209"/>
      <c r="BE87" s="209"/>
      <c r="BF87" s="209"/>
      <c r="BG87" s="209"/>
      <c r="BH87" s="210"/>
      <c r="BI87" s="208" t="str">
        <f t="shared" si="11"/>
        <v>0</v>
      </c>
      <c r="BJ87" s="209"/>
      <c r="BK87" s="209"/>
      <c r="BL87" s="209"/>
      <c r="BM87" s="209"/>
      <c r="BN87" s="210"/>
      <c r="BO87" s="208" t="str">
        <f t="shared" si="12"/>
        <v>0</v>
      </c>
      <c r="BP87" s="209"/>
      <c r="BQ87" s="209"/>
      <c r="BR87" s="209"/>
      <c r="BS87" s="209"/>
      <c r="BT87" s="210"/>
      <c r="BU87" s="208" t="str">
        <f t="shared" si="13"/>
        <v>0</v>
      </c>
      <c r="BV87" s="209"/>
      <c r="BW87" s="209"/>
      <c r="BX87" s="209"/>
      <c r="BY87" s="209"/>
      <c r="BZ87" s="210"/>
      <c r="CA87" s="208" t="str">
        <f t="shared" si="14"/>
        <v>0</v>
      </c>
      <c r="CB87" s="209"/>
      <c r="CC87" s="209"/>
      <c r="CD87" s="209"/>
      <c r="CE87" s="209"/>
      <c r="CF87" s="210"/>
      <c r="CG87" s="208" t="str">
        <f t="shared" si="15"/>
        <v>0</v>
      </c>
      <c r="CH87" s="209"/>
      <c r="CI87" s="209"/>
      <c r="CJ87" s="209"/>
      <c r="CK87" s="209"/>
      <c r="CL87" s="210"/>
      <c r="CM87" s="208" t="str">
        <f t="shared" si="16"/>
        <v>0</v>
      </c>
      <c r="CN87" s="209"/>
      <c r="CO87" s="209"/>
      <c r="CP87" s="209"/>
      <c r="CQ87" s="209"/>
      <c r="CR87" s="210"/>
      <c r="CS87" s="208" t="str">
        <f t="shared" si="17"/>
        <v>0</v>
      </c>
      <c r="CT87" s="209"/>
      <c r="CU87" s="209"/>
      <c r="CV87" s="209"/>
      <c r="CW87" s="209"/>
      <c r="CX87" s="210"/>
      <c r="CY87" s="70"/>
    </row>
    <row r="88" spans="2:110" s="46" customFormat="1" ht="23.25" hidden="1" customHeight="1" x14ac:dyDescent="0.25">
      <c r="B88" s="78"/>
      <c r="C88" s="78"/>
      <c r="D88" s="43">
        <f t="shared" si="2"/>
        <v>0</v>
      </c>
      <c r="E88" s="44"/>
      <c r="F88" s="216"/>
      <c r="G88" s="231"/>
      <c r="H88" s="231"/>
      <c r="I88" s="231"/>
      <c r="J88" s="231"/>
      <c r="K88" s="231"/>
      <c r="L88" s="217"/>
      <c r="M88" s="208" t="str">
        <f t="shared" si="3"/>
        <v>0</v>
      </c>
      <c r="N88" s="223"/>
      <c r="O88" s="223"/>
      <c r="P88" s="223"/>
      <c r="Q88" s="223"/>
      <c r="R88" s="224"/>
      <c r="S88" s="208" t="str">
        <f t="shared" si="4"/>
        <v>0</v>
      </c>
      <c r="T88" s="223"/>
      <c r="U88" s="223"/>
      <c r="V88" s="223"/>
      <c r="W88" s="223"/>
      <c r="X88" s="224"/>
      <c r="Y88" s="208" t="str">
        <f t="shared" si="5"/>
        <v>0</v>
      </c>
      <c r="Z88" s="223"/>
      <c r="AA88" s="223"/>
      <c r="AB88" s="223"/>
      <c r="AC88" s="223"/>
      <c r="AD88" s="224"/>
      <c r="AE88" s="208" t="str">
        <f t="shared" si="6"/>
        <v>0</v>
      </c>
      <c r="AF88" s="223"/>
      <c r="AG88" s="223"/>
      <c r="AH88" s="223"/>
      <c r="AI88" s="223"/>
      <c r="AJ88" s="224"/>
      <c r="AK88" s="208" t="str">
        <f t="shared" si="7"/>
        <v>0</v>
      </c>
      <c r="AL88" s="223"/>
      <c r="AM88" s="223"/>
      <c r="AN88" s="223"/>
      <c r="AO88" s="223"/>
      <c r="AP88" s="224"/>
      <c r="AQ88" s="208" t="str">
        <f t="shared" si="8"/>
        <v>0</v>
      </c>
      <c r="AR88" s="223"/>
      <c r="AS88" s="223"/>
      <c r="AT88" s="223"/>
      <c r="AU88" s="223"/>
      <c r="AV88" s="224"/>
      <c r="AW88" s="208" t="str">
        <f t="shared" si="9"/>
        <v>0</v>
      </c>
      <c r="AX88" s="223"/>
      <c r="AY88" s="223"/>
      <c r="AZ88" s="223"/>
      <c r="BA88" s="223"/>
      <c r="BB88" s="224"/>
      <c r="BC88" s="208" t="str">
        <f t="shared" si="10"/>
        <v>0</v>
      </c>
      <c r="BD88" s="223"/>
      <c r="BE88" s="223"/>
      <c r="BF88" s="223"/>
      <c r="BG88" s="223"/>
      <c r="BH88" s="224"/>
      <c r="BI88" s="208" t="str">
        <f t="shared" si="11"/>
        <v>0</v>
      </c>
      <c r="BJ88" s="223"/>
      <c r="BK88" s="223"/>
      <c r="BL88" s="223"/>
      <c r="BM88" s="223"/>
      <c r="BN88" s="224"/>
      <c r="BO88" s="208" t="str">
        <f t="shared" si="12"/>
        <v>0</v>
      </c>
      <c r="BP88" s="223"/>
      <c r="BQ88" s="223"/>
      <c r="BR88" s="223"/>
      <c r="BS88" s="223"/>
      <c r="BT88" s="224"/>
      <c r="BU88" s="208" t="str">
        <f t="shared" si="13"/>
        <v>0</v>
      </c>
      <c r="BV88" s="223"/>
      <c r="BW88" s="223"/>
      <c r="BX88" s="223"/>
      <c r="BY88" s="223"/>
      <c r="BZ88" s="224"/>
      <c r="CA88" s="208" t="str">
        <f t="shared" si="14"/>
        <v>0</v>
      </c>
      <c r="CB88" s="223"/>
      <c r="CC88" s="223"/>
      <c r="CD88" s="223"/>
      <c r="CE88" s="223"/>
      <c r="CF88" s="224"/>
      <c r="CG88" s="208" t="str">
        <f t="shared" si="15"/>
        <v>0</v>
      </c>
      <c r="CH88" s="223"/>
      <c r="CI88" s="223"/>
      <c r="CJ88" s="223"/>
      <c r="CK88" s="223"/>
      <c r="CL88" s="224"/>
      <c r="CM88" s="208" t="str">
        <f t="shared" si="16"/>
        <v>0</v>
      </c>
      <c r="CN88" s="223"/>
      <c r="CO88" s="223"/>
      <c r="CP88" s="223"/>
      <c r="CQ88" s="223"/>
      <c r="CR88" s="224"/>
      <c r="CS88" s="208" t="str">
        <f t="shared" si="17"/>
        <v>0</v>
      </c>
      <c r="CT88" s="223"/>
      <c r="CU88" s="223"/>
      <c r="CV88" s="223"/>
      <c r="CW88" s="223"/>
      <c r="CX88" s="224"/>
      <c r="CY88" s="70"/>
    </row>
    <row r="89" spans="2:110" s="46" customFormat="1" ht="23.25" hidden="1" customHeight="1" x14ac:dyDescent="0.25">
      <c r="B89" s="78"/>
      <c r="C89" s="78"/>
      <c r="D89" s="43">
        <f t="shared" si="2"/>
        <v>0</v>
      </c>
      <c r="E89" s="44"/>
      <c r="F89" s="216"/>
      <c r="G89" s="231"/>
      <c r="H89" s="231"/>
      <c r="I89" s="231"/>
      <c r="J89" s="231"/>
      <c r="K89" s="231"/>
      <c r="L89" s="217"/>
      <c r="M89" s="208" t="str">
        <f t="shared" si="3"/>
        <v>0</v>
      </c>
      <c r="N89" s="223"/>
      <c r="O89" s="223"/>
      <c r="P89" s="223"/>
      <c r="Q89" s="223"/>
      <c r="R89" s="224"/>
      <c r="S89" s="208" t="str">
        <f t="shared" si="4"/>
        <v>0</v>
      </c>
      <c r="T89" s="223"/>
      <c r="U89" s="223"/>
      <c r="V89" s="223"/>
      <c r="W89" s="223"/>
      <c r="X89" s="224"/>
      <c r="Y89" s="208" t="str">
        <f t="shared" si="5"/>
        <v>0</v>
      </c>
      <c r="Z89" s="223"/>
      <c r="AA89" s="223"/>
      <c r="AB89" s="223"/>
      <c r="AC89" s="223"/>
      <c r="AD89" s="224"/>
      <c r="AE89" s="208" t="str">
        <f t="shared" si="6"/>
        <v>0</v>
      </c>
      <c r="AF89" s="223"/>
      <c r="AG89" s="223"/>
      <c r="AH89" s="223"/>
      <c r="AI89" s="223"/>
      <c r="AJ89" s="224"/>
      <c r="AK89" s="208" t="str">
        <f t="shared" si="7"/>
        <v>0</v>
      </c>
      <c r="AL89" s="223"/>
      <c r="AM89" s="223"/>
      <c r="AN89" s="223"/>
      <c r="AO89" s="223"/>
      <c r="AP89" s="224"/>
      <c r="AQ89" s="208" t="str">
        <f t="shared" si="8"/>
        <v>0</v>
      </c>
      <c r="AR89" s="223"/>
      <c r="AS89" s="223"/>
      <c r="AT89" s="223"/>
      <c r="AU89" s="223"/>
      <c r="AV89" s="224"/>
      <c r="AW89" s="208" t="str">
        <f t="shared" si="9"/>
        <v>0</v>
      </c>
      <c r="AX89" s="223"/>
      <c r="AY89" s="223"/>
      <c r="AZ89" s="223"/>
      <c r="BA89" s="223"/>
      <c r="BB89" s="224"/>
      <c r="BC89" s="208" t="str">
        <f t="shared" si="10"/>
        <v>0</v>
      </c>
      <c r="BD89" s="223"/>
      <c r="BE89" s="223"/>
      <c r="BF89" s="223"/>
      <c r="BG89" s="223"/>
      <c r="BH89" s="224"/>
      <c r="BI89" s="208" t="str">
        <f t="shared" si="11"/>
        <v>0</v>
      </c>
      <c r="BJ89" s="223"/>
      <c r="BK89" s="223"/>
      <c r="BL89" s="223"/>
      <c r="BM89" s="223"/>
      <c r="BN89" s="224"/>
      <c r="BO89" s="208" t="str">
        <f t="shared" si="12"/>
        <v>0</v>
      </c>
      <c r="BP89" s="223"/>
      <c r="BQ89" s="223"/>
      <c r="BR89" s="223"/>
      <c r="BS89" s="223"/>
      <c r="BT89" s="224"/>
      <c r="BU89" s="208" t="str">
        <f t="shared" si="13"/>
        <v>0</v>
      </c>
      <c r="BV89" s="223"/>
      <c r="BW89" s="223"/>
      <c r="BX89" s="223"/>
      <c r="BY89" s="223"/>
      <c r="BZ89" s="224"/>
      <c r="CA89" s="208" t="str">
        <f t="shared" si="14"/>
        <v>0</v>
      </c>
      <c r="CB89" s="223"/>
      <c r="CC89" s="223"/>
      <c r="CD89" s="223"/>
      <c r="CE89" s="223"/>
      <c r="CF89" s="224"/>
      <c r="CG89" s="208" t="str">
        <f t="shared" si="15"/>
        <v>0</v>
      </c>
      <c r="CH89" s="223"/>
      <c r="CI89" s="223"/>
      <c r="CJ89" s="223"/>
      <c r="CK89" s="223"/>
      <c r="CL89" s="224"/>
      <c r="CM89" s="208" t="str">
        <f t="shared" si="16"/>
        <v>0</v>
      </c>
      <c r="CN89" s="223"/>
      <c r="CO89" s="223"/>
      <c r="CP89" s="223"/>
      <c r="CQ89" s="223"/>
      <c r="CR89" s="224"/>
      <c r="CS89" s="208" t="str">
        <f t="shared" si="17"/>
        <v>0</v>
      </c>
      <c r="CT89" s="223"/>
      <c r="CU89" s="223"/>
      <c r="CV89" s="223"/>
      <c r="CW89" s="223"/>
      <c r="CX89" s="224"/>
      <c r="CY89" s="70"/>
    </row>
    <row r="90" spans="2:110" s="46" customFormat="1" ht="23.25" hidden="1" customHeight="1" x14ac:dyDescent="0.25">
      <c r="B90" s="78"/>
      <c r="C90" s="78"/>
      <c r="D90" s="43">
        <f t="shared" si="2"/>
        <v>0</v>
      </c>
      <c r="E90" s="44"/>
      <c r="F90" s="216"/>
      <c r="G90" s="231"/>
      <c r="H90" s="231"/>
      <c r="I90" s="231"/>
      <c r="J90" s="231"/>
      <c r="K90" s="231"/>
      <c r="L90" s="217"/>
      <c r="M90" s="208" t="str">
        <f t="shared" si="3"/>
        <v>0</v>
      </c>
      <c r="N90" s="223"/>
      <c r="O90" s="223"/>
      <c r="P90" s="223"/>
      <c r="Q90" s="223"/>
      <c r="R90" s="224"/>
      <c r="S90" s="208" t="str">
        <f t="shared" si="4"/>
        <v>0</v>
      </c>
      <c r="T90" s="223"/>
      <c r="U90" s="223"/>
      <c r="V90" s="223"/>
      <c r="W90" s="223"/>
      <c r="X90" s="224"/>
      <c r="Y90" s="208" t="str">
        <f t="shared" si="5"/>
        <v>0</v>
      </c>
      <c r="Z90" s="223"/>
      <c r="AA90" s="223"/>
      <c r="AB90" s="223"/>
      <c r="AC90" s="223"/>
      <c r="AD90" s="224"/>
      <c r="AE90" s="208" t="str">
        <f t="shared" si="6"/>
        <v>0</v>
      </c>
      <c r="AF90" s="223"/>
      <c r="AG90" s="223"/>
      <c r="AH90" s="223"/>
      <c r="AI90" s="223"/>
      <c r="AJ90" s="224"/>
      <c r="AK90" s="208" t="str">
        <f t="shared" si="7"/>
        <v>0</v>
      </c>
      <c r="AL90" s="223"/>
      <c r="AM90" s="223"/>
      <c r="AN90" s="223"/>
      <c r="AO90" s="223"/>
      <c r="AP90" s="224"/>
      <c r="AQ90" s="208" t="str">
        <f t="shared" si="8"/>
        <v>0</v>
      </c>
      <c r="AR90" s="223"/>
      <c r="AS90" s="223"/>
      <c r="AT90" s="223"/>
      <c r="AU90" s="223"/>
      <c r="AV90" s="224"/>
      <c r="AW90" s="208" t="str">
        <f t="shared" si="9"/>
        <v>0</v>
      </c>
      <c r="AX90" s="223"/>
      <c r="AY90" s="223"/>
      <c r="AZ90" s="223"/>
      <c r="BA90" s="223"/>
      <c r="BB90" s="224"/>
      <c r="BC90" s="208" t="str">
        <f t="shared" si="10"/>
        <v>0</v>
      </c>
      <c r="BD90" s="223"/>
      <c r="BE90" s="223"/>
      <c r="BF90" s="223"/>
      <c r="BG90" s="223"/>
      <c r="BH90" s="224"/>
      <c r="BI90" s="208" t="str">
        <f t="shared" si="11"/>
        <v>0</v>
      </c>
      <c r="BJ90" s="223"/>
      <c r="BK90" s="223"/>
      <c r="BL90" s="223"/>
      <c r="BM90" s="223"/>
      <c r="BN90" s="224"/>
      <c r="BO90" s="208" t="str">
        <f t="shared" si="12"/>
        <v>0</v>
      </c>
      <c r="BP90" s="223"/>
      <c r="BQ90" s="223"/>
      <c r="BR90" s="223"/>
      <c r="BS90" s="223"/>
      <c r="BT90" s="224"/>
      <c r="BU90" s="208" t="str">
        <f t="shared" si="13"/>
        <v>0</v>
      </c>
      <c r="BV90" s="223"/>
      <c r="BW90" s="223"/>
      <c r="BX90" s="223"/>
      <c r="BY90" s="223"/>
      <c r="BZ90" s="224"/>
      <c r="CA90" s="208" t="str">
        <f t="shared" si="14"/>
        <v>0</v>
      </c>
      <c r="CB90" s="223"/>
      <c r="CC90" s="223"/>
      <c r="CD90" s="223"/>
      <c r="CE90" s="223"/>
      <c r="CF90" s="224"/>
      <c r="CG90" s="208" t="str">
        <f t="shared" si="15"/>
        <v>0</v>
      </c>
      <c r="CH90" s="223"/>
      <c r="CI90" s="223"/>
      <c r="CJ90" s="223"/>
      <c r="CK90" s="223"/>
      <c r="CL90" s="224"/>
      <c r="CM90" s="208" t="str">
        <f t="shared" si="16"/>
        <v>0</v>
      </c>
      <c r="CN90" s="223"/>
      <c r="CO90" s="223"/>
      <c r="CP90" s="223"/>
      <c r="CQ90" s="223"/>
      <c r="CR90" s="224"/>
      <c r="CS90" s="208" t="str">
        <f t="shared" si="17"/>
        <v>0</v>
      </c>
      <c r="CT90" s="223"/>
      <c r="CU90" s="223"/>
      <c r="CV90" s="223"/>
      <c r="CW90" s="223"/>
      <c r="CX90" s="224"/>
      <c r="CY90" s="70"/>
    </row>
    <row r="91" spans="2:110" s="46" customFormat="1" ht="23.25" hidden="1" customHeight="1" x14ac:dyDescent="0.25">
      <c r="B91" s="78"/>
      <c r="C91" s="78"/>
      <c r="D91" s="43">
        <f t="shared" si="2"/>
        <v>0</v>
      </c>
      <c r="E91" s="44"/>
      <c r="F91" s="216"/>
      <c r="G91" s="231"/>
      <c r="H91" s="231"/>
      <c r="I91" s="231"/>
      <c r="J91" s="231"/>
      <c r="K91" s="231"/>
      <c r="L91" s="217"/>
      <c r="M91" s="208" t="str">
        <f t="shared" si="3"/>
        <v>0</v>
      </c>
      <c r="N91" s="223"/>
      <c r="O91" s="223"/>
      <c r="P91" s="223"/>
      <c r="Q91" s="223"/>
      <c r="R91" s="224"/>
      <c r="S91" s="208" t="str">
        <f t="shared" si="4"/>
        <v>0</v>
      </c>
      <c r="T91" s="223"/>
      <c r="U91" s="223"/>
      <c r="V91" s="223"/>
      <c r="W91" s="223"/>
      <c r="X91" s="224"/>
      <c r="Y91" s="208" t="str">
        <f t="shared" si="5"/>
        <v>0</v>
      </c>
      <c r="Z91" s="223"/>
      <c r="AA91" s="223"/>
      <c r="AB91" s="223"/>
      <c r="AC91" s="223"/>
      <c r="AD91" s="224"/>
      <c r="AE91" s="208" t="str">
        <f t="shared" si="6"/>
        <v>0</v>
      </c>
      <c r="AF91" s="223"/>
      <c r="AG91" s="223"/>
      <c r="AH91" s="223"/>
      <c r="AI91" s="223"/>
      <c r="AJ91" s="224"/>
      <c r="AK91" s="208" t="str">
        <f t="shared" si="7"/>
        <v>0</v>
      </c>
      <c r="AL91" s="223"/>
      <c r="AM91" s="223"/>
      <c r="AN91" s="223"/>
      <c r="AO91" s="223"/>
      <c r="AP91" s="224"/>
      <c r="AQ91" s="208" t="str">
        <f t="shared" si="8"/>
        <v>0</v>
      </c>
      <c r="AR91" s="223"/>
      <c r="AS91" s="223"/>
      <c r="AT91" s="223"/>
      <c r="AU91" s="223"/>
      <c r="AV91" s="224"/>
      <c r="AW91" s="208" t="str">
        <f t="shared" si="9"/>
        <v>0</v>
      </c>
      <c r="AX91" s="223"/>
      <c r="AY91" s="223"/>
      <c r="AZ91" s="223"/>
      <c r="BA91" s="223"/>
      <c r="BB91" s="224"/>
      <c r="BC91" s="208" t="str">
        <f t="shared" si="10"/>
        <v>0</v>
      </c>
      <c r="BD91" s="223"/>
      <c r="BE91" s="223"/>
      <c r="BF91" s="223"/>
      <c r="BG91" s="223"/>
      <c r="BH91" s="224"/>
      <c r="BI91" s="208" t="str">
        <f t="shared" si="11"/>
        <v>0</v>
      </c>
      <c r="BJ91" s="223"/>
      <c r="BK91" s="223"/>
      <c r="BL91" s="223"/>
      <c r="BM91" s="223"/>
      <c r="BN91" s="224"/>
      <c r="BO91" s="208" t="str">
        <f t="shared" si="12"/>
        <v>0</v>
      </c>
      <c r="BP91" s="223"/>
      <c r="BQ91" s="223"/>
      <c r="BR91" s="223"/>
      <c r="BS91" s="223"/>
      <c r="BT91" s="224"/>
      <c r="BU91" s="208" t="str">
        <f t="shared" si="13"/>
        <v>0</v>
      </c>
      <c r="BV91" s="223"/>
      <c r="BW91" s="223"/>
      <c r="BX91" s="223"/>
      <c r="BY91" s="223"/>
      <c r="BZ91" s="224"/>
      <c r="CA91" s="208" t="str">
        <f t="shared" si="14"/>
        <v>0</v>
      </c>
      <c r="CB91" s="223"/>
      <c r="CC91" s="223"/>
      <c r="CD91" s="223"/>
      <c r="CE91" s="223"/>
      <c r="CF91" s="224"/>
      <c r="CG91" s="208" t="str">
        <f t="shared" si="15"/>
        <v>0</v>
      </c>
      <c r="CH91" s="223"/>
      <c r="CI91" s="223"/>
      <c r="CJ91" s="223"/>
      <c r="CK91" s="223"/>
      <c r="CL91" s="224"/>
      <c r="CM91" s="208" t="str">
        <f t="shared" si="16"/>
        <v>0</v>
      </c>
      <c r="CN91" s="223"/>
      <c r="CO91" s="223"/>
      <c r="CP91" s="223"/>
      <c r="CQ91" s="223"/>
      <c r="CR91" s="224"/>
      <c r="CS91" s="208" t="str">
        <f t="shared" si="17"/>
        <v>0</v>
      </c>
      <c r="CT91" s="223"/>
      <c r="CU91" s="223"/>
      <c r="CV91" s="223"/>
      <c r="CW91" s="223"/>
      <c r="CX91" s="224"/>
      <c r="CY91" s="70"/>
    </row>
    <row r="92" spans="2:110" s="46" customFormat="1" ht="23.25" hidden="1" customHeight="1" x14ac:dyDescent="0.2">
      <c r="B92" s="78"/>
      <c r="C92" s="78"/>
      <c r="D92" s="43">
        <f t="shared" si="2"/>
        <v>0</v>
      </c>
      <c r="E92" s="44"/>
      <c r="F92" s="216"/>
      <c r="G92" s="231"/>
      <c r="H92" s="231"/>
      <c r="I92" s="231"/>
      <c r="J92" s="231"/>
      <c r="K92" s="231"/>
      <c r="L92" s="217"/>
      <c r="M92" s="208" t="str">
        <f t="shared" si="3"/>
        <v>0</v>
      </c>
      <c r="N92" s="223"/>
      <c r="O92" s="223"/>
      <c r="P92" s="223"/>
      <c r="Q92" s="223"/>
      <c r="R92" s="224"/>
      <c r="S92" s="208" t="str">
        <f t="shared" si="4"/>
        <v>0</v>
      </c>
      <c r="T92" s="223"/>
      <c r="U92" s="223"/>
      <c r="V92" s="223"/>
      <c r="W92" s="223"/>
      <c r="X92" s="224"/>
      <c r="Y92" s="208" t="str">
        <f t="shared" si="5"/>
        <v>0</v>
      </c>
      <c r="Z92" s="223"/>
      <c r="AA92" s="223"/>
      <c r="AB92" s="223"/>
      <c r="AC92" s="223"/>
      <c r="AD92" s="224"/>
      <c r="AE92" s="208" t="str">
        <f t="shared" si="6"/>
        <v>0</v>
      </c>
      <c r="AF92" s="223"/>
      <c r="AG92" s="223"/>
      <c r="AH92" s="223"/>
      <c r="AI92" s="223"/>
      <c r="AJ92" s="224"/>
      <c r="AK92" s="208" t="str">
        <f t="shared" si="7"/>
        <v>0</v>
      </c>
      <c r="AL92" s="223"/>
      <c r="AM92" s="223"/>
      <c r="AN92" s="223"/>
      <c r="AO92" s="223"/>
      <c r="AP92" s="224"/>
      <c r="AQ92" s="208" t="str">
        <f t="shared" si="8"/>
        <v>0</v>
      </c>
      <c r="AR92" s="223"/>
      <c r="AS92" s="223"/>
      <c r="AT92" s="223"/>
      <c r="AU92" s="223"/>
      <c r="AV92" s="224"/>
      <c r="AW92" s="208" t="str">
        <f t="shared" si="9"/>
        <v>0</v>
      </c>
      <c r="AX92" s="223"/>
      <c r="AY92" s="223"/>
      <c r="AZ92" s="223"/>
      <c r="BA92" s="223"/>
      <c r="BB92" s="224"/>
      <c r="BC92" s="208" t="str">
        <f t="shared" si="10"/>
        <v>0</v>
      </c>
      <c r="BD92" s="223"/>
      <c r="BE92" s="223"/>
      <c r="BF92" s="223"/>
      <c r="BG92" s="223"/>
      <c r="BH92" s="224"/>
      <c r="BI92" s="208" t="str">
        <f t="shared" si="11"/>
        <v>0</v>
      </c>
      <c r="BJ92" s="223"/>
      <c r="BK92" s="223"/>
      <c r="BL92" s="223"/>
      <c r="BM92" s="223"/>
      <c r="BN92" s="224"/>
      <c r="BO92" s="208" t="str">
        <f t="shared" si="12"/>
        <v>0</v>
      </c>
      <c r="BP92" s="223"/>
      <c r="BQ92" s="223"/>
      <c r="BR92" s="223"/>
      <c r="BS92" s="223"/>
      <c r="BT92" s="224"/>
      <c r="BU92" s="208" t="str">
        <f t="shared" si="13"/>
        <v>0</v>
      </c>
      <c r="BV92" s="223"/>
      <c r="BW92" s="223"/>
      <c r="BX92" s="223"/>
      <c r="BY92" s="223"/>
      <c r="BZ92" s="224"/>
      <c r="CA92" s="208" t="str">
        <f t="shared" si="14"/>
        <v>0</v>
      </c>
      <c r="CB92" s="223"/>
      <c r="CC92" s="223"/>
      <c r="CD92" s="223"/>
      <c r="CE92" s="223"/>
      <c r="CF92" s="224"/>
      <c r="CG92" s="208" t="str">
        <f t="shared" si="15"/>
        <v>0</v>
      </c>
      <c r="CH92" s="223"/>
      <c r="CI92" s="223"/>
      <c r="CJ92" s="223"/>
      <c r="CK92" s="223"/>
      <c r="CL92" s="224"/>
      <c r="CM92" s="208" t="str">
        <f t="shared" si="16"/>
        <v>0</v>
      </c>
      <c r="CN92" s="223"/>
      <c r="CO92" s="223"/>
      <c r="CP92" s="223"/>
      <c r="CQ92" s="223"/>
      <c r="CR92" s="224"/>
      <c r="CS92" s="208" t="str">
        <f t="shared" si="17"/>
        <v>0</v>
      </c>
      <c r="CT92" s="223"/>
      <c r="CU92" s="223"/>
      <c r="CV92" s="223"/>
      <c r="CW92" s="223"/>
      <c r="CX92" s="224"/>
      <c r="CY92" s="3"/>
      <c r="CZ92" s="3"/>
      <c r="DA92" s="3"/>
      <c r="DB92" s="3"/>
      <c r="DC92" s="3"/>
      <c r="DD92" s="3"/>
      <c r="DE92" s="3"/>
      <c r="DF92" s="3"/>
    </row>
    <row r="93" spans="2:110" s="46" customFormat="1" ht="23.25" hidden="1" customHeight="1" x14ac:dyDescent="0.2">
      <c r="B93" s="78"/>
      <c r="C93" s="78"/>
      <c r="D93" s="43">
        <f t="shared" si="2"/>
        <v>0</v>
      </c>
      <c r="E93" s="44"/>
      <c r="F93" s="216"/>
      <c r="G93" s="231"/>
      <c r="H93" s="231"/>
      <c r="I93" s="231"/>
      <c r="J93" s="231"/>
      <c r="K93" s="231"/>
      <c r="L93" s="217"/>
      <c r="M93" s="208" t="str">
        <f t="shared" si="3"/>
        <v>0</v>
      </c>
      <c r="N93" s="223"/>
      <c r="O93" s="223"/>
      <c r="P93" s="223"/>
      <c r="Q93" s="223"/>
      <c r="R93" s="224"/>
      <c r="S93" s="208" t="str">
        <f t="shared" si="4"/>
        <v>0</v>
      </c>
      <c r="T93" s="223"/>
      <c r="U93" s="223"/>
      <c r="V93" s="223"/>
      <c r="W93" s="223"/>
      <c r="X93" s="224"/>
      <c r="Y93" s="208" t="str">
        <f t="shared" si="5"/>
        <v>0</v>
      </c>
      <c r="Z93" s="223"/>
      <c r="AA93" s="223"/>
      <c r="AB93" s="223"/>
      <c r="AC93" s="223"/>
      <c r="AD93" s="224"/>
      <c r="AE93" s="208" t="str">
        <f t="shared" si="6"/>
        <v>0</v>
      </c>
      <c r="AF93" s="223"/>
      <c r="AG93" s="223"/>
      <c r="AH93" s="223"/>
      <c r="AI93" s="223"/>
      <c r="AJ93" s="224"/>
      <c r="AK93" s="208" t="str">
        <f t="shared" si="7"/>
        <v>0</v>
      </c>
      <c r="AL93" s="223"/>
      <c r="AM93" s="223"/>
      <c r="AN93" s="223"/>
      <c r="AO93" s="223"/>
      <c r="AP93" s="224"/>
      <c r="AQ93" s="208" t="str">
        <f t="shared" si="8"/>
        <v>0</v>
      </c>
      <c r="AR93" s="223"/>
      <c r="AS93" s="223"/>
      <c r="AT93" s="223"/>
      <c r="AU93" s="223"/>
      <c r="AV93" s="224"/>
      <c r="AW93" s="208" t="str">
        <f t="shared" si="9"/>
        <v>0</v>
      </c>
      <c r="AX93" s="223"/>
      <c r="AY93" s="223"/>
      <c r="AZ93" s="223"/>
      <c r="BA93" s="223"/>
      <c r="BB93" s="224"/>
      <c r="BC93" s="208" t="str">
        <f t="shared" si="10"/>
        <v>0</v>
      </c>
      <c r="BD93" s="223"/>
      <c r="BE93" s="223"/>
      <c r="BF93" s="223"/>
      <c r="BG93" s="223"/>
      <c r="BH93" s="224"/>
      <c r="BI93" s="208" t="str">
        <f t="shared" si="11"/>
        <v>0</v>
      </c>
      <c r="BJ93" s="223"/>
      <c r="BK93" s="223"/>
      <c r="BL93" s="223"/>
      <c r="BM93" s="223"/>
      <c r="BN93" s="224"/>
      <c r="BO93" s="208" t="str">
        <f t="shared" si="12"/>
        <v>0</v>
      </c>
      <c r="BP93" s="223"/>
      <c r="BQ93" s="223"/>
      <c r="BR93" s="223"/>
      <c r="BS93" s="223"/>
      <c r="BT93" s="224"/>
      <c r="BU93" s="208" t="str">
        <f t="shared" si="13"/>
        <v>0</v>
      </c>
      <c r="BV93" s="223"/>
      <c r="BW93" s="223"/>
      <c r="BX93" s="223"/>
      <c r="BY93" s="223"/>
      <c r="BZ93" s="224"/>
      <c r="CA93" s="208" t="str">
        <f t="shared" si="14"/>
        <v>0</v>
      </c>
      <c r="CB93" s="223"/>
      <c r="CC93" s="223"/>
      <c r="CD93" s="223"/>
      <c r="CE93" s="223"/>
      <c r="CF93" s="224"/>
      <c r="CG93" s="208" t="str">
        <f t="shared" si="15"/>
        <v>0</v>
      </c>
      <c r="CH93" s="223"/>
      <c r="CI93" s="223"/>
      <c r="CJ93" s="223"/>
      <c r="CK93" s="223"/>
      <c r="CL93" s="224"/>
      <c r="CM93" s="208" t="str">
        <f t="shared" si="16"/>
        <v>0</v>
      </c>
      <c r="CN93" s="223"/>
      <c r="CO93" s="223"/>
      <c r="CP93" s="223"/>
      <c r="CQ93" s="223"/>
      <c r="CR93" s="224"/>
      <c r="CS93" s="208" t="str">
        <f t="shared" si="17"/>
        <v>0</v>
      </c>
      <c r="CT93" s="223"/>
      <c r="CU93" s="223"/>
      <c r="CV93" s="223"/>
      <c r="CW93" s="223"/>
      <c r="CX93" s="224"/>
      <c r="CY93" s="3"/>
      <c r="CZ93" s="3"/>
      <c r="DA93" s="3"/>
      <c r="DB93" s="3"/>
      <c r="DC93" s="3"/>
      <c r="DD93" s="3"/>
      <c r="DE93" s="3"/>
      <c r="DF93" s="3"/>
    </row>
    <row r="94" spans="2:110" ht="23.25" customHeight="1" x14ac:dyDescent="0.2">
      <c r="B94" s="29"/>
      <c r="C94" s="29"/>
      <c r="D94" s="40"/>
      <c r="E94" s="40"/>
      <c r="F94" s="188"/>
      <c r="G94" s="188"/>
      <c r="H94" s="188"/>
      <c r="I94" s="188"/>
      <c r="J94" s="188"/>
      <c r="K94" s="188"/>
      <c r="L94" s="188"/>
      <c r="M94" s="66"/>
      <c r="N94" s="66"/>
      <c r="O94" s="66"/>
      <c r="P94" s="66"/>
      <c r="Q94" s="66"/>
      <c r="R94" s="66"/>
      <c r="S94" s="66"/>
      <c r="T94" s="66"/>
      <c r="U94" s="66"/>
      <c r="V94" s="66"/>
      <c r="W94" s="66"/>
      <c r="X94" s="66"/>
      <c r="Y94" s="66"/>
      <c r="Z94" s="66"/>
      <c r="AA94" s="66"/>
      <c r="AB94" s="66"/>
      <c r="AC94" s="66"/>
      <c r="AD94" s="66"/>
      <c r="AE94" s="66"/>
      <c r="AF94" s="66"/>
      <c r="AG94" s="66"/>
      <c r="AH94" s="66"/>
      <c r="AI94" s="66"/>
      <c r="AJ94" s="66"/>
      <c r="AK94" s="66"/>
      <c r="AL94" s="66"/>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X94" s="66"/>
      <c r="BY94" s="66"/>
      <c r="BZ94" s="66"/>
      <c r="CA94" s="66"/>
      <c r="CB94" s="66"/>
      <c r="CC94" s="66"/>
      <c r="CD94" s="66"/>
      <c r="CE94" s="66"/>
      <c r="CF94" s="66"/>
      <c r="CG94" s="66"/>
      <c r="CH94" s="66"/>
      <c r="CI94" s="66"/>
      <c r="CJ94" s="66"/>
      <c r="CK94" s="66"/>
      <c r="CL94" s="66"/>
      <c r="CM94" s="66"/>
      <c r="CN94" s="66"/>
      <c r="CO94" s="66"/>
      <c r="CP94" s="66"/>
      <c r="CQ94" s="66"/>
      <c r="CR94" s="66"/>
      <c r="CS94" s="66"/>
      <c r="CT94" s="66"/>
      <c r="CU94" s="66"/>
      <c r="CV94" s="66"/>
      <c r="CW94" s="66"/>
      <c r="CX94" s="66"/>
    </row>
    <row r="95" spans="2:110" ht="23.25" customHeight="1" x14ac:dyDescent="0.25">
      <c r="B95" s="29"/>
      <c r="C95" s="29"/>
      <c r="D95" s="40"/>
      <c r="E95" s="115"/>
      <c r="F95" s="115"/>
      <c r="G95" s="115"/>
      <c r="H95" s="115"/>
      <c r="I95" s="115"/>
      <c r="J95" s="115"/>
      <c r="K95" s="115"/>
      <c r="L95" s="115"/>
      <c r="M95" s="115"/>
      <c r="N95" s="115"/>
      <c r="O95" s="66"/>
      <c r="P95" s="66"/>
      <c r="Q95" s="66"/>
      <c r="R95" s="66"/>
      <c r="S95" s="66"/>
      <c r="T95" s="66"/>
      <c r="U95" s="66"/>
      <c r="V95" s="66"/>
      <c r="W95" s="66"/>
      <c r="X95" s="66"/>
      <c r="Y95" s="66"/>
      <c r="Z95" s="66"/>
      <c r="AA95" s="66"/>
      <c r="AB95" s="66"/>
      <c r="AC95" s="66"/>
      <c r="AD95" s="66"/>
      <c r="AE95" s="66"/>
      <c r="AF95" s="66"/>
      <c r="AG95" s="66"/>
      <c r="AH95" s="66"/>
      <c r="AI95" s="66"/>
      <c r="AJ95" s="66"/>
      <c r="AK95" s="66"/>
      <c r="AL95" s="66"/>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6"/>
      <c r="BY95" s="66"/>
      <c r="BZ95" s="66"/>
      <c r="CA95" s="66"/>
      <c r="CB95" s="66"/>
      <c r="CC95" s="66"/>
      <c r="CD95" s="66"/>
      <c r="CE95" s="66"/>
      <c r="CF95" s="66"/>
      <c r="CG95" s="66"/>
      <c r="CH95" s="66"/>
      <c r="CI95" s="66"/>
      <c r="CJ95" s="66"/>
      <c r="CK95" s="66"/>
      <c r="CL95" s="66"/>
      <c r="CM95" s="66"/>
      <c r="CN95" s="66"/>
      <c r="CO95" s="66"/>
      <c r="CP95" s="66"/>
      <c r="CQ95" s="66"/>
      <c r="CR95" s="66"/>
      <c r="CS95" s="66"/>
      <c r="CT95" s="66"/>
      <c r="CU95" s="66"/>
      <c r="CV95" s="66"/>
      <c r="CW95" s="66"/>
      <c r="CX95" s="66"/>
    </row>
    <row r="96" spans="2:110" ht="23.25" customHeight="1" x14ac:dyDescent="0.25">
      <c r="B96" s="29"/>
      <c r="C96" s="29"/>
      <c r="D96" s="40"/>
      <c r="E96" s="115"/>
      <c r="F96" s="115"/>
      <c r="G96" s="115"/>
      <c r="H96" s="115"/>
      <c r="I96" s="115"/>
      <c r="J96" s="115"/>
      <c r="K96" s="115"/>
      <c r="L96" s="115"/>
      <c r="M96" s="115"/>
      <c r="N96" s="115"/>
      <c r="O96" s="66"/>
      <c r="P96" s="66"/>
      <c r="Q96" s="66"/>
      <c r="R96" s="66"/>
      <c r="S96" s="66"/>
      <c r="T96" s="66"/>
      <c r="U96" s="66"/>
      <c r="V96" s="66"/>
      <c r="W96" s="66"/>
      <c r="X96" s="66"/>
      <c r="Y96" s="66"/>
      <c r="Z96" s="66"/>
      <c r="AA96" s="66"/>
      <c r="AB96" s="66"/>
      <c r="AC96" s="66"/>
      <c r="AD96" s="66"/>
      <c r="AE96" s="66"/>
      <c r="AF96" s="66"/>
      <c r="AG96" s="66"/>
      <c r="AH96" s="66"/>
      <c r="AI96" s="66"/>
      <c r="AJ96" s="66"/>
      <c r="AK96" s="66"/>
      <c r="AL96" s="66"/>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X96" s="66"/>
      <c r="BY96" s="66"/>
      <c r="BZ96" s="66"/>
      <c r="CA96" s="66"/>
      <c r="CB96" s="66"/>
      <c r="CC96" s="66"/>
      <c r="CD96" s="66"/>
      <c r="CE96" s="66"/>
      <c r="CF96" s="66"/>
      <c r="CG96" s="66"/>
      <c r="CH96" s="66"/>
      <c r="CI96" s="66"/>
      <c r="CJ96" s="66"/>
      <c r="CK96" s="66"/>
      <c r="CL96" s="66"/>
      <c r="CM96" s="66"/>
      <c r="CN96" s="66"/>
      <c r="CO96" s="66"/>
      <c r="CP96" s="66"/>
      <c r="CQ96" s="66"/>
      <c r="CR96" s="66"/>
      <c r="CS96" s="66"/>
      <c r="CT96" s="66"/>
      <c r="CU96" s="66"/>
      <c r="CV96" s="66"/>
      <c r="CW96" s="66"/>
      <c r="CX96" s="66"/>
    </row>
    <row r="97" spans="2:102" ht="23.25" customHeight="1" x14ac:dyDescent="0.25">
      <c r="B97" s="29"/>
      <c r="C97" s="29"/>
      <c r="D97" s="40"/>
      <c r="E97" s="115"/>
      <c r="F97" s="115"/>
      <c r="G97" s="115"/>
      <c r="H97" s="115"/>
      <c r="I97" s="115"/>
      <c r="J97" s="115"/>
      <c r="K97" s="115"/>
      <c r="L97" s="115"/>
      <c r="M97" s="115"/>
      <c r="N97" s="115"/>
      <c r="O97" s="66"/>
      <c r="P97" s="66"/>
      <c r="Q97" s="66"/>
      <c r="R97" s="66"/>
      <c r="S97" s="66"/>
      <c r="T97" s="66"/>
      <c r="U97" s="66"/>
      <c r="V97" s="66"/>
      <c r="W97" s="66"/>
      <c r="X97" s="66"/>
      <c r="Y97" s="66"/>
      <c r="Z97" s="66"/>
      <c r="AA97" s="66"/>
      <c r="AB97" s="66"/>
      <c r="AC97" s="66"/>
      <c r="AD97" s="66"/>
      <c r="AE97" s="66"/>
      <c r="AF97" s="66"/>
      <c r="AG97" s="66"/>
      <c r="AH97" s="66"/>
      <c r="AI97" s="66"/>
      <c r="AJ97" s="66"/>
      <c r="AK97" s="66"/>
      <c r="AL97" s="66"/>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X97" s="66"/>
      <c r="BY97" s="66"/>
      <c r="BZ97" s="66"/>
      <c r="CA97" s="66"/>
      <c r="CB97" s="66"/>
      <c r="CC97" s="66"/>
      <c r="CD97" s="66"/>
      <c r="CE97" s="66"/>
      <c r="CF97" s="66"/>
      <c r="CG97" s="66"/>
      <c r="CH97" s="66"/>
      <c r="CI97" s="66"/>
      <c r="CJ97" s="66"/>
      <c r="CK97" s="66"/>
      <c r="CL97" s="66"/>
      <c r="CM97" s="66"/>
      <c r="CN97" s="66"/>
      <c r="CO97" s="66"/>
      <c r="CP97" s="66"/>
      <c r="CQ97" s="66"/>
      <c r="CR97" s="66"/>
      <c r="CS97" s="66"/>
      <c r="CT97" s="66"/>
      <c r="CU97" s="66"/>
      <c r="CV97" s="66"/>
      <c r="CW97" s="66"/>
      <c r="CX97" s="66"/>
    </row>
    <row r="98" spans="2:102" ht="23.25" customHeight="1" x14ac:dyDescent="0.25">
      <c r="B98" s="29"/>
      <c r="C98" s="29"/>
      <c r="D98" s="40"/>
      <c r="E98" s="115"/>
      <c r="F98" s="115"/>
      <c r="G98" s="115"/>
      <c r="H98" s="115"/>
      <c r="I98" s="115"/>
      <c r="J98" s="115"/>
      <c r="K98" s="115"/>
      <c r="L98" s="115"/>
      <c r="M98" s="115"/>
      <c r="N98" s="115"/>
      <c r="O98" s="66"/>
      <c r="P98" s="66"/>
      <c r="Q98" s="66"/>
      <c r="R98" s="66"/>
      <c r="S98" s="66"/>
      <c r="T98" s="66"/>
      <c r="U98" s="66"/>
      <c r="V98" s="66"/>
      <c r="W98" s="66"/>
      <c r="X98" s="66"/>
      <c r="Y98" s="66"/>
      <c r="Z98" s="66"/>
      <c r="AA98" s="66"/>
      <c r="AB98" s="66"/>
      <c r="AC98" s="66"/>
      <c r="AD98" s="66"/>
      <c r="AE98" s="66"/>
      <c r="AF98" s="66"/>
      <c r="AG98" s="66"/>
      <c r="AH98" s="66"/>
      <c r="AI98" s="66"/>
      <c r="AJ98" s="66"/>
      <c r="AK98" s="66"/>
      <c r="AL98" s="66"/>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X98" s="66"/>
      <c r="BY98" s="66"/>
      <c r="BZ98" s="66"/>
      <c r="CA98" s="66"/>
      <c r="CB98" s="66"/>
      <c r="CC98" s="66"/>
      <c r="CD98" s="66"/>
      <c r="CE98" s="66"/>
      <c r="CF98" s="66"/>
      <c r="CG98" s="66"/>
      <c r="CH98" s="66"/>
      <c r="CI98" s="66"/>
      <c r="CJ98" s="66"/>
      <c r="CK98" s="66"/>
      <c r="CL98" s="66"/>
      <c r="CM98" s="66"/>
      <c r="CN98" s="66"/>
      <c r="CO98" s="66"/>
      <c r="CP98" s="66"/>
      <c r="CQ98" s="66"/>
      <c r="CR98" s="66"/>
      <c r="CS98" s="66"/>
      <c r="CT98" s="66"/>
      <c r="CU98" s="66"/>
      <c r="CV98" s="66"/>
      <c r="CW98" s="66"/>
      <c r="CX98" s="66"/>
    </row>
    <row r="99" spans="2:102" ht="23.25" customHeight="1" x14ac:dyDescent="0.25">
      <c r="B99" s="29"/>
      <c r="C99" s="29"/>
      <c r="D99" s="40"/>
      <c r="E99" s="115"/>
      <c r="F99" s="115"/>
      <c r="G99" s="115"/>
      <c r="H99" s="115"/>
      <c r="I99" s="115"/>
      <c r="J99" s="115"/>
      <c r="K99" s="115"/>
      <c r="L99" s="115"/>
      <c r="M99" s="115"/>
      <c r="N99" s="115"/>
      <c r="O99" s="66"/>
      <c r="P99" s="66"/>
      <c r="Q99" s="66"/>
      <c r="R99" s="66"/>
      <c r="S99" s="66"/>
      <c r="T99" s="66"/>
      <c r="U99" s="66"/>
      <c r="V99" s="66"/>
      <c r="W99" s="66"/>
      <c r="X99" s="66"/>
      <c r="Y99" s="66"/>
      <c r="Z99" s="66"/>
      <c r="AA99" s="66"/>
      <c r="AB99" s="66"/>
      <c r="AC99" s="66"/>
      <c r="AD99" s="66"/>
      <c r="AE99" s="66"/>
      <c r="AF99" s="66"/>
      <c r="AG99" s="66"/>
      <c r="AH99" s="66"/>
      <c r="AI99" s="66"/>
      <c r="AJ99" s="66"/>
      <c r="AK99" s="66"/>
      <c r="AL99" s="66"/>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X99" s="66"/>
      <c r="BY99" s="66"/>
      <c r="BZ99" s="66"/>
      <c r="CA99" s="66"/>
      <c r="CB99" s="66"/>
      <c r="CC99" s="66"/>
      <c r="CD99" s="66"/>
      <c r="CE99" s="66"/>
      <c r="CF99" s="66"/>
      <c r="CG99" s="66"/>
      <c r="CH99" s="66"/>
      <c r="CI99" s="66"/>
      <c r="CJ99" s="66"/>
      <c r="CK99" s="66"/>
      <c r="CL99" s="66"/>
      <c r="CM99" s="66"/>
      <c r="CN99" s="66"/>
      <c r="CO99" s="66"/>
      <c r="CP99" s="66"/>
      <c r="CQ99" s="66"/>
      <c r="CR99" s="66"/>
      <c r="CS99" s="66"/>
      <c r="CT99" s="66"/>
      <c r="CU99" s="66"/>
      <c r="CV99" s="66"/>
      <c r="CW99" s="66"/>
      <c r="CX99" s="66"/>
    </row>
    <row r="100" spans="2:102" ht="23.25" customHeight="1" x14ac:dyDescent="0.25">
      <c r="B100" s="29"/>
      <c r="C100" s="29"/>
      <c r="D100" s="40"/>
      <c r="E100" s="115"/>
      <c r="F100" s="115"/>
      <c r="G100" s="115"/>
      <c r="H100" s="115"/>
      <c r="I100" s="115"/>
      <c r="J100" s="115"/>
      <c r="K100" s="115"/>
      <c r="L100" s="115"/>
      <c r="M100" s="115"/>
      <c r="N100" s="115"/>
      <c r="O100" s="66"/>
      <c r="P100" s="66"/>
      <c r="Q100" s="66"/>
      <c r="R100" s="66"/>
      <c r="S100" s="66"/>
      <c r="T100" s="66"/>
      <c r="U100" s="66"/>
      <c r="V100" s="66"/>
      <c r="W100" s="66"/>
      <c r="X100" s="66"/>
      <c r="Y100" s="66"/>
      <c r="Z100" s="66"/>
      <c r="AA100" s="66"/>
      <c r="AB100" s="66"/>
      <c r="AC100" s="66"/>
      <c r="AD100" s="66"/>
      <c r="AE100" s="66"/>
      <c r="AF100" s="66"/>
      <c r="AG100" s="66"/>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X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6"/>
      <c r="CU100" s="66"/>
      <c r="CV100" s="66"/>
      <c r="CW100" s="66"/>
      <c r="CX100" s="66"/>
    </row>
    <row r="101" spans="2:102" ht="23.25" customHeight="1" x14ac:dyDescent="0.25">
      <c r="B101" s="29"/>
      <c r="C101" s="29"/>
      <c r="D101" s="40"/>
      <c r="E101" s="115"/>
      <c r="F101" s="115"/>
      <c r="G101" s="115"/>
      <c r="H101" s="115"/>
      <c r="I101" s="115"/>
      <c r="J101" s="115"/>
      <c r="K101" s="115"/>
      <c r="L101" s="115"/>
      <c r="M101" s="115"/>
      <c r="N101" s="115"/>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X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6"/>
      <c r="CU101" s="66"/>
      <c r="CV101" s="66"/>
      <c r="CW101" s="66"/>
      <c r="CX101" s="66"/>
    </row>
    <row r="102" spans="2:102" ht="23.25" customHeight="1" x14ac:dyDescent="0.25">
      <c r="B102" s="29"/>
      <c r="C102" s="29"/>
      <c r="D102" s="40"/>
      <c r="E102" s="115"/>
      <c r="F102" s="115"/>
      <c r="G102" s="115"/>
      <c r="H102" s="115"/>
      <c r="I102" s="115"/>
      <c r="J102" s="115"/>
      <c r="K102" s="115"/>
      <c r="L102" s="115"/>
      <c r="M102" s="115"/>
      <c r="N102" s="115"/>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X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6"/>
      <c r="CU102" s="66"/>
      <c r="CV102" s="66"/>
      <c r="CW102" s="66"/>
      <c r="CX102" s="66"/>
    </row>
    <row r="103" spans="2:102" ht="23.25" customHeight="1" x14ac:dyDescent="0.25">
      <c r="B103" s="29"/>
      <c r="C103" s="29"/>
      <c r="D103" s="40"/>
      <c r="E103" s="115"/>
      <c r="F103" s="115"/>
      <c r="G103" s="115"/>
      <c r="H103" s="115"/>
      <c r="I103" s="115"/>
      <c r="J103" s="115"/>
      <c r="K103" s="115"/>
      <c r="L103" s="115"/>
      <c r="M103" s="115"/>
      <c r="N103" s="115"/>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X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6"/>
      <c r="CU103" s="66"/>
      <c r="CV103" s="66"/>
      <c r="CW103" s="66"/>
      <c r="CX103" s="66"/>
    </row>
    <row r="104" spans="2:102" ht="23.25" customHeight="1" x14ac:dyDescent="0.25">
      <c r="B104" s="29"/>
      <c r="C104" s="29"/>
      <c r="D104" s="40"/>
      <c r="E104" s="115"/>
      <c r="F104" s="115"/>
      <c r="G104" s="115"/>
      <c r="H104" s="115"/>
      <c r="I104" s="115"/>
      <c r="J104" s="115"/>
      <c r="K104" s="115"/>
      <c r="L104" s="115"/>
      <c r="M104" s="115"/>
      <c r="N104" s="115"/>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row>
    <row r="105" spans="2:102" ht="23.25" customHeight="1" x14ac:dyDescent="0.25">
      <c r="B105" s="29"/>
      <c r="C105" s="29"/>
      <c r="D105" s="40"/>
      <c r="E105" s="115"/>
      <c r="F105" s="115"/>
      <c r="G105" s="115"/>
      <c r="H105" s="115"/>
      <c r="I105" s="115"/>
      <c r="J105" s="115"/>
      <c r="K105" s="115"/>
      <c r="L105" s="115"/>
      <c r="M105" s="115"/>
      <c r="N105" s="115"/>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row>
    <row r="106" spans="2:102" ht="23.25" customHeight="1" x14ac:dyDescent="0.25">
      <c r="B106" s="29"/>
      <c r="C106" s="29"/>
      <c r="D106" s="40"/>
      <c r="E106" s="115"/>
      <c r="F106" s="115"/>
      <c r="G106" s="115"/>
      <c r="H106" s="115"/>
      <c r="I106" s="115"/>
      <c r="J106" s="115"/>
      <c r="K106" s="115"/>
      <c r="L106" s="115"/>
      <c r="M106" s="115"/>
      <c r="N106" s="115"/>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row>
    <row r="107" spans="2:102" ht="23.25" customHeight="1" x14ac:dyDescent="0.25">
      <c r="B107" s="29"/>
      <c r="C107" s="29"/>
      <c r="D107" s="40"/>
      <c r="E107" s="115"/>
      <c r="F107" s="115"/>
      <c r="G107" s="115"/>
      <c r="H107" s="115"/>
      <c r="I107" s="115"/>
      <c r="J107" s="115"/>
      <c r="K107" s="115"/>
      <c r="L107" s="115"/>
      <c r="M107" s="115"/>
      <c r="N107" s="115"/>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row>
    <row r="108" spans="2:102" ht="23.25" customHeight="1" x14ac:dyDescent="0.25">
      <c r="B108" s="29"/>
      <c r="C108" s="29"/>
      <c r="D108" s="40"/>
      <c r="E108" s="115"/>
      <c r="F108" s="115"/>
      <c r="G108" s="115"/>
      <c r="H108" s="115"/>
      <c r="I108" s="115"/>
      <c r="J108" s="115"/>
      <c r="K108" s="115"/>
      <c r="L108" s="115"/>
      <c r="M108" s="115"/>
      <c r="N108" s="115"/>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row>
    <row r="109" spans="2:102" ht="23.25" customHeight="1" x14ac:dyDescent="0.25">
      <c r="B109" s="29"/>
      <c r="C109" s="29"/>
      <c r="D109" s="40"/>
      <c r="E109" s="115"/>
      <c r="F109" s="115"/>
      <c r="G109" s="115"/>
      <c r="H109" s="115"/>
      <c r="I109" s="115"/>
      <c r="J109" s="115"/>
      <c r="K109" s="115"/>
      <c r="L109" s="115"/>
      <c r="M109" s="115"/>
      <c r="N109" s="115"/>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row>
    <row r="110" spans="2:102" ht="23.25" customHeight="1" x14ac:dyDescent="0.2">
      <c r="B110" s="29"/>
      <c r="C110" s="29"/>
      <c r="D110" s="40"/>
      <c r="E110" s="40"/>
      <c r="F110" s="188"/>
      <c r="G110" s="188"/>
      <c r="H110" s="188"/>
      <c r="I110" s="188"/>
      <c r="J110" s="188"/>
      <c r="K110" s="188"/>
      <c r="L110" s="188"/>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row>
    <row r="111" spans="2:102" ht="23.25" customHeight="1" x14ac:dyDescent="0.2">
      <c r="B111" s="29"/>
      <c r="C111" s="29"/>
      <c r="D111" s="40"/>
      <c r="E111" s="40"/>
      <c r="F111" s="188"/>
      <c r="G111" s="188"/>
      <c r="H111" s="188"/>
      <c r="I111" s="188"/>
      <c r="J111" s="188"/>
      <c r="K111" s="188"/>
      <c r="L111" s="188"/>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row>
    <row r="112" spans="2:102" ht="23.25" customHeight="1" x14ac:dyDescent="0.2">
      <c r="B112" s="29"/>
      <c r="C112" s="29"/>
      <c r="D112" s="40"/>
      <c r="E112" s="40"/>
      <c r="F112" s="188"/>
      <c r="G112" s="188"/>
      <c r="H112" s="188"/>
      <c r="I112" s="188"/>
      <c r="J112" s="188"/>
      <c r="K112" s="188"/>
      <c r="L112" s="188"/>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row>
    <row r="113" spans="2:102" ht="23.25" customHeight="1" x14ac:dyDescent="0.2">
      <c r="B113" s="29"/>
      <c r="C113" s="29"/>
      <c r="D113" s="40"/>
      <c r="E113" s="40"/>
      <c r="F113" s="188"/>
      <c r="G113" s="188"/>
      <c r="H113" s="188"/>
      <c r="I113" s="188"/>
      <c r="J113" s="188"/>
      <c r="K113" s="188"/>
      <c r="L113" s="188"/>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row>
    <row r="114" spans="2:102" ht="23.25" customHeight="1" x14ac:dyDescent="0.2">
      <c r="B114" s="29"/>
      <c r="C114" s="29"/>
      <c r="D114" s="40"/>
      <c r="E114" s="40"/>
      <c r="F114" s="188"/>
      <c r="G114" s="188"/>
      <c r="H114" s="188"/>
      <c r="I114" s="188"/>
      <c r="J114" s="188"/>
      <c r="K114" s="188"/>
      <c r="L114" s="188"/>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row>
    <row r="115" spans="2:102" ht="23.25" customHeight="1" x14ac:dyDescent="0.2">
      <c r="B115" s="29"/>
      <c r="C115" s="29"/>
      <c r="D115" s="40"/>
      <c r="E115" s="40"/>
      <c r="F115" s="188"/>
      <c r="G115" s="188"/>
      <c r="H115" s="188"/>
      <c r="I115" s="188"/>
      <c r="J115" s="188"/>
      <c r="K115" s="188"/>
      <c r="L115" s="188"/>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row>
    <row r="116" spans="2:102" ht="23.25" customHeight="1" x14ac:dyDescent="0.2">
      <c r="B116" s="29"/>
      <c r="C116" s="29"/>
      <c r="D116" s="40"/>
      <c r="E116" s="40"/>
      <c r="F116" s="188"/>
      <c r="G116" s="188"/>
      <c r="H116" s="188"/>
      <c r="I116" s="188"/>
      <c r="J116" s="188"/>
      <c r="K116" s="188"/>
      <c r="L116" s="188"/>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row>
    <row r="117" spans="2:102" ht="23.25" customHeight="1" x14ac:dyDescent="0.2">
      <c r="B117" s="29"/>
      <c r="C117" s="29"/>
      <c r="D117" s="40"/>
      <c r="E117" s="40"/>
      <c r="F117" s="188"/>
      <c r="G117" s="188"/>
      <c r="H117" s="188"/>
      <c r="I117" s="188"/>
      <c r="J117" s="188"/>
      <c r="K117" s="188"/>
      <c r="L117" s="188"/>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row>
    <row r="118" spans="2:102" ht="23.25" customHeight="1" x14ac:dyDescent="0.2">
      <c r="B118" s="29"/>
      <c r="C118" s="29"/>
      <c r="D118" s="40"/>
      <c r="E118" s="40"/>
      <c r="F118" s="188"/>
      <c r="G118" s="188"/>
      <c r="H118" s="188"/>
      <c r="I118" s="188"/>
      <c r="J118" s="188"/>
      <c r="K118" s="188"/>
      <c r="L118" s="188"/>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row>
    <row r="119" spans="2:102" ht="23.25" customHeight="1" x14ac:dyDescent="0.2">
      <c r="B119" s="29"/>
      <c r="C119" s="29"/>
      <c r="D119" s="40"/>
      <c r="E119" s="40"/>
      <c r="F119" s="188"/>
      <c r="G119" s="188"/>
      <c r="H119" s="188"/>
      <c r="I119" s="188"/>
      <c r="J119" s="188"/>
      <c r="K119" s="188"/>
      <c r="L119" s="188"/>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row>
    <row r="120" spans="2:102" ht="23.25" customHeight="1" x14ac:dyDescent="0.2">
      <c r="B120" s="29"/>
      <c r="C120" s="29"/>
      <c r="D120" s="40"/>
      <c r="E120" s="40"/>
      <c r="F120" s="188"/>
      <c r="G120" s="188"/>
      <c r="H120" s="188"/>
      <c r="I120" s="188"/>
      <c r="J120" s="188"/>
      <c r="K120" s="188"/>
      <c r="L120" s="188"/>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row>
    <row r="121" spans="2:102" ht="23.25" customHeight="1" x14ac:dyDescent="0.2">
      <c r="B121" s="29"/>
      <c r="C121" s="29"/>
      <c r="D121" s="40"/>
      <c r="E121" s="40"/>
      <c r="F121" s="188"/>
      <c r="G121" s="188"/>
      <c r="H121" s="188"/>
      <c r="I121" s="188"/>
      <c r="J121" s="188"/>
      <c r="K121" s="188"/>
      <c r="L121" s="188"/>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row>
    <row r="122" spans="2:102" ht="23.25" customHeight="1" x14ac:dyDescent="0.2">
      <c r="B122" s="29"/>
      <c r="C122" s="29"/>
      <c r="D122" s="40"/>
      <c r="E122" s="40"/>
      <c r="F122" s="188"/>
      <c r="G122" s="188"/>
      <c r="H122" s="188"/>
      <c r="I122" s="188"/>
      <c r="J122" s="188"/>
      <c r="K122" s="188"/>
      <c r="L122" s="188"/>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row>
    <row r="123" spans="2:102" ht="23.25" customHeight="1" x14ac:dyDescent="0.2">
      <c r="B123" s="29"/>
      <c r="C123" s="29"/>
      <c r="D123" s="40"/>
      <c r="E123" s="40"/>
      <c r="F123" s="188"/>
      <c r="G123" s="188"/>
      <c r="H123" s="188"/>
      <c r="I123" s="188"/>
      <c r="J123" s="188"/>
      <c r="K123" s="188"/>
      <c r="L123" s="188"/>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row>
    <row r="124" spans="2:102" ht="23.25" customHeight="1" x14ac:dyDescent="0.2">
      <c r="B124" s="29"/>
      <c r="C124" s="29"/>
      <c r="D124" s="40"/>
      <c r="E124" s="40"/>
      <c r="F124" s="188"/>
      <c r="G124" s="188"/>
      <c r="H124" s="188"/>
      <c r="I124" s="188"/>
      <c r="J124" s="188"/>
      <c r="K124" s="188"/>
      <c r="L124" s="188"/>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row>
    <row r="125" spans="2:102" ht="23.25" customHeight="1" x14ac:dyDescent="0.2">
      <c r="B125" s="29"/>
      <c r="C125" s="29"/>
      <c r="D125" s="40"/>
      <c r="E125" s="40"/>
      <c r="F125" s="188"/>
      <c r="G125" s="188"/>
      <c r="H125" s="188"/>
      <c r="I125" s="188"/>
      <c r="J125" s="188"/>
      <c r="K125" s="188"/>
      <c r="L125" s="188"/>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row>
    <row r="126" spans="2:102" ht="23.25" customHeight="1" x14ac:dyDescent="0.2">
      <c r="B126" s="29"/>
      <c r="C126" s="29"/>
      <c r="D126" s="40"/>
      <c r="E126" s="40"/>
      <c r="F126" s="188"/>
      <c r="G126" s="188"/>
      <c r="H126" s="188"/>
      <c r="I126" s="188"/>
      <c r="J126" s="188"/>
      <c r="K126" s="188"/>
      <c r="L126" s="188"/>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row>
    <row r="127" spans="2:102" ht="23.25" customHeight="1" x14ac:dyDescent="0.2">
      <c r="B127" s="29"/>
      <c r="C127" s="29"/>
      <c r="D127" s="40"/>
      <c r="E127" s="40"/>
      <c r="F127" s="188"/>
      <c r="G127" s="188"/>
      <c r="H127" s="188"/>
      <c r="I127" s="188"/>
      <c r="J127" s="188"/>
      <c r="K127" s="188"/>
      <c r="L127" s="188"/>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row>
    <row r="128" spans="2:102" ht="23.25" customHeight="1" x14ac:dyDescent="0.2">
      <c r="B128" s="29"/>
      <c r="C128" s="29"/>
      <c r="D128" s="40"/>
      <c r="E128" s="40"/>
      <c r="F128" s="188"/>
      <c r="G128" s="188"/>
      <c r="H128" s="188"/>
      <c r="I128" s="188"/>
      <c r="J128" s="188"/>
      <c r="K128" s="188"/>
      <c r="L128" s="188"/>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row>
    <row r="129" spans="2:102" ht="23.25" customHeight="1" x14ac:dyDescent="0.2">
      <c r="B129" s="29"/>
      <c r="C129" s="29"/>
      <c r="D129" s="40"/>
      <c r="E129" s="40"/>
      <c r="F129" s="188"/>
      <c r="G129" s="188"/>
      <c r="H129" s="188"/>
      <c r="I129" s="188"/>
      <c r="J129" s="188"/>
      <c r="K129" s="188"/>
      <c r="L129" s="188"/>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row>
    <row r="130" spans="2:102" ht="23.25" customHeight="1" x14ac:dyDescent="0.2">
      <c r="B130" s="29"/>
      <c r="C130" s="29"/>
      <c r="D130" s="40"/>
      <c r="E130" s="40"/>
      <c r="F130" s="188"/>
      <c r="G130" s="188"/>
      <c r="H130" s="188"/>
      <c r="I130" s="188"/>
      <c r="J130" s="188"/>
      <c r="K130" s="188"/>
      <c r="L130" s="188"/>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row>
    <row r="131" spans="2:102" ht="23.25" customHeight="1" x14ac:dyDescent="0.2">
      <c r="B131" s="29"/>
      <c r="C131" s="29"/>
      <c r="D131" s="40"/>
      <c r="E131" s="40"/>
      <c r="F131" s="188"/>
      <c r="G131" s="188"/>
      <c r="H131" s="188"/>
      <c r="I131" s="188"/>
      <c r="J131" s="188"/>
      <c r="K131" s="188"/>
      <c r="L131" s="188"/>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row>
    <row r="132" spans="2:102" ht="23.25" customHeight="1" x14ac:dyDescent="0.2">
      <c r="B132" s="29"/>
      <c r="C132" s="29"/>
      <c r="D132" s="40"/>
      <c r="E132" s="40"/>
      <c r="F132" s="188"/>
      <c r="G132" s="188"/>
      <c r="H132" s="188"/>
      <c r="I132" s="188"/>
      <c r="J132" s="188"/>
      <c r="K132" s="188"/>
      <c r="L132" s="188"/>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row>
    <row r="133" spans="2:102" ht="23.25" customHeight="1" x14ac:dyDescent="0.2">
      <c r="B133" s="29"/>
      <c r="C133" s="29"/>
      <c r="D133" s="40"/>
      <c r="E133" s="40"/>
      <c r="F133" s="188"/>
      <c r="G133" s="188"/>
      <c r="H133" s="188"/>
      <c r="I133" s="188"/>
      <c r="J133" s="188"/>
      <c r="K133" s="188"/>
      <c r="L133" s="188"/>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row>
    <row r="134" spans="2:102" ht="23.25" customHeight="1" x14ac:dyDescent="0.2">
      <c r="B134" s="29"/>
      <c r="C134" s="29"/>
      <c r="D134" s="40"/>
      <c r="E134" s="40"/>
      <c r="F134" s="188"/>
      <c r="G134" s="188"/>
      <c r="H134" s="188"/>
      <c r="I134" s="188"/>
      <c r="J134" s="188"/>
      <c r="K134" s="188"/>
      <c r="L134" s="188"/>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row>
    <row r="135" spans="2:102" ht="23.25" customHeight="1" x14ac:dyDescent="0.2">
      <c r="B135" s="29"/>
      <c r="C135" s="29"/>
      <c r="D135" s="40"/>
      <c r="E135" s="40"/>
      <c r="F135" s="188"/>
      <c r="G135" s="188"/>
      <c r="H135" s="188"/>
      <c r="I135" s="188"/>
      <c r="J135" s="188"/>
      <c r="K135" s="188"/>
      <c r="L135" s="188"/>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row>
    <row r="136" spans="2:102" ht="23.25" customHeight="1" x14ac:dyDescent="0.2">
      <c r="B136" s="29"/>
      <c r="C136" s="29"/>
      <c r="D136" s="40"/>
      <c r="E136" s="40"/>
      <c r="F136" s="188"/>
      <c r="G136" s="188"/>
      <c r="H136" s="188"/>
      <c r="I136" s="188"/>
      <c r="J136" s="188"/>
      <c r="K136" s="188"/>
      <c r="L136" s="188"/>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row>
    <row r="137" spans="2:102" ht="23.25" customHeight="1" x14ac:dyDescent="0.2">
      <c r="B137" s="29"/>
      <c r="C137" s="29"/>
      <c r="D137" s="40"/>
      <c r="E137" s="40"/>
      <c r="F137" s="188"/>
      <c r="G137" s="188"/>
      <c r="H137" s="188"/>
      <c r="I137" s="188"/>
      <c r="J137" s="188"/>
      <c r="K137" s="188"/>
      <c r="L137" s="188"/>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row>
    <row r="138" spans="2:102" ht="23.25" customHeight="1" x14ac:dyDescent="0.2">
      <c r="B138" s="29"/>
      <c r="C138" s="29"/>
      <c r="D138" s="40"/>
      <c r="E138" s="40"/>
      <c r="F138" s="188"/>
      <c r="G138" s="188"/>
      <c r="H138" s="188"/>
      <c r="I138" s="188"/>
      <c r="J138" s="188"/>
      <c r="K138" s="188"/>
      <c r="L138" s="188"/>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row>
    <row r="139" spans="2:102" ht="23.25" customHeight="1" x14ac:dyDescent="0.2">
      <c r="B139" s="29"/>
      <c r="C139" s="29"/>
      <c r="D139" s="40"/>
      <c r="E139" s="40"/>
      <c r="F139" s="188"/>
      <c r="G139" s="188"/>
      <c r="H139" s="188"/>
      <c r="I139" s="188"/>
      <c r="J139" s="188"/>
      <c r="K139" s="188"/>
      <c r="L139" s="188"/>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row>
    <row r="140" spans="2:102" ht="23.25" customHeight="1" x14ac:dyDescent="0.2">
      <c r="B140" s="29"/>
      <c r="C140" s="29"/>
      <c r="D140" s="40"/>
      <c r="E140" s="40"/>
      <c r="F140" s="188"/>
      <c r="G140" s="188"/>
      <c r="H140" s="188"/>
      <c r="I140" s="188"/>
      <c r="J140" s="188"/>
      <c r="K140" s="188"/>
      <c r="L140" s="188"/>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row>
    <row r="141" spans="2:102" ht="23.25" customHeight="1" x14ac:dyDescent="0.2">
      <c r="B141" s="29"/>
      <c r="C141" s="29"/>
      <c r="D141" s="40"/>
      <c r="E141" s="40"/>
      <c r="F141" s="188"/>
      <c r="G141" s="188"/>
      <c r="H141" s="188"/>
      <c r="I141" s="188"/>
      <c r="J141" s="188"/>
      <c r="K141" s="188"/>
      <c r="L141" s="188"/>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row>
    <row r="142" spans="2:102" ht="23.25" customHeight="1" x14ac:dyDescent="0.2">
      <c r="B142" s="29"/>
      <c r="C142" s="29"/>
      <c r="D142" s="40"/>
      <c r="E142" s="40"/>
      <c r="F142" s="188"/>
      <c r="G142" s="188"/>
      <c r="H142" s="188"/>
      <c r="I142" s="188"/>
      <c r="J142" s="188"/>
      <c r="K142" s="188"/>
      <c r="L142" s="188"/>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row>
    <row r="143" spans="2:102" ht="23.25" customHeight="1" x14ac:dyDescent="0.2">
      <c r="B143" s="29"/>
      <c r="C143" s="29"/>
      <c r="D143" s="40"/>
      <c r="E143" s="40"/>
      <c r="F143" s="188"/>
      <c r="G143" s="188"/>
      <c r="H143" s="188"/>
      <c r="I143" s="188"/>
      <c r="J143" s="188"/>
      <c r="K143" s="188"/>
      <c r="L143" s="188"/>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row>
    <row r="144" spans="2:102" ht="23.25" customHeight="1" x14ac:dyDescent="0.2">
      <c r="B144" s="29"/>
      <c r="C144" s="29"/>
      <c r="D144" s="40"/>
      <c r="E144" s="40"/>
      <c r="F144" s="188"/>
      <c r="G144" s="188"/>
      <c r="H144" s="188"/>
      <c r="I144" s="188"/>
      <c r="J144" s="188"/>
      <c r="K144" s="188"/>
      <c r="L144" s="188"/>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row>
    <row r="145" spans="2:102" ht="23.25" customHeight="1" x14ac:dyDescent="0.2">
      <c r="B145" s="29"/>
      <c r="C145" s="29"/>
      <c r="D145" s="40"/>
      <c r="E145" s="40"/>
      <c r="F145" s="188"/>
      <c r="G145" s="188"/>
      <c r="H145" s="188"/>
      <c r="I145" s="188"/>
      <c r="J145" s="188"/>
      <c r="K145" s="188"/>
      <c r="L145" s="188"/>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row>
    <row r="146" spans="2:102" ht="23.25" customHeight="1" x14ac:dyDescent="0.2">
      <c r="B146" s="29"/>
      <c r="C146" s="29"/>
      <c r="D146" s="40"/>
      <c r="E146" s="40"/>
      <c r="F146" s="188"/>
      <c r="G146" s="188"/>
      <c r="H146" s="188"/>
      <c r="I146" s="188"/>
      <c r="J146" s="188"/>
      <c r="K146" s="188"/>
      <c r="L146" s="188"/>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row>
    <row r="147" spans="2:102" ht="23.25" customHeight="1" x14ac:dyDescent="0.2">
      <c r="B147" s="29"/>
      <c r="C147" s="29"/>
      <c r="D147" s="40"/>
      <c r="E147" s="40"/>
      <c r="F147" s="188"/>
      <c r="G147" s="188"/>
      <c r="H147" s="188"/>
      <c r="I147" s="188"/>
      <c r="J147" s="188"/>
      <c r="K147" s="188"/>
      <c r="L147" s="188"/>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row>
    <row r="148" spans="2:102" ht="23.25" customHeight="1" x14ac:dyDescent="0.2">
      <c r="B148" s="29"/>
      <c r="C148" s="29"/>
      <c r="D148" s="40"/>
      <c r="E148" s="40"/>
      <c r="F148" s="188"/>
      <c r="G148" s="188"/>
      <c r="H148" s="188"/>
      <c r="I148" s="188"/>
      <c r="J148" s="188"/>
      <c r="K148" s="188"/>
      <c r="L148" s="188"/>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row>
    <row r="149" spans="2:102" ht="23.25" customHeight="1" x14ac:dyDescent="0.2">
      <c r="B149" s="29"/>
      <c r="C149" s="29"/>
      <c r="D149" s="40"/>
      <c r="E149" s="40"/>
      <c r="F149" s="188"/>
      <c r="G149" s="188"/>
      <c r="H149" s="188"/>
      <c r="I149" s="188"/>
      <c r="J149" s="188"/>
      <c r="K149" s="188"/>
      <c r="L149" s="188"/>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row>
    <row r="150" spans="2:102" ht="23.25" customHeight="1" x14ac:dyDescent="0.2">
      <c r="B150" s="29"/>
      <c r="C150" s="29"/>
      <c r="D150" s="40"/>
      <c r="E150" s="40"/>
      <c r="F150" s="188"/>
      <c r="G150" s="188"/>
      <c r="H150" s="188"/>
      <c r="I150" s="188"/>
      <c r="J150" s="188"/>
      <c r="K150" s="188"/>
      <c r="L150" s="188"/>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row>
    <row r="151" spans="2:102" ht="23.25" customHeight="1" x14ac:dyDescent="0.2">
      <c r="B151" s="29"/>
      <c r="C151" s="29"/>
      <c r="D151" s="40"/>
      <c r="E151" s="40"/>
      <c r="F151" s="188"/>
      <c r="G151" s="188"/>
      <c r="H151" s="188"/>
      <c r="I151" s="188"/>
      <c r="J151" s="188"/>
      <c r="K151" s="188"/>
      <c r="L151" s="188"/>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row>
    <row r="152" spans="2:102" ht="23.25" customHeight="1" x14ac:dyDescent="0.2">
      <c r="B152" s="29"/>
      <c r="C152" s="29"/>
      <c r="D152" s="40"/>
      <c r="E152" s="40"/>
      <c r="F152" s="188"/>
      <c r="G152" s="188"/>
      <c r="H152" s="188"/>
      <c r="I152" s="188"/>
      <c r="J152" s="188"/>
      <c r="K152" s="188"/>
      <c r="L152" s="188"/>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row>
    <row r="153" spans="2:102" ht="23.25" customHeight="1" x14ac:dyDescent="0.2">
      <c r="B153" s="29"/>
      <c r="C153" s="29"/>
      <c r="D153" s="40"/>
      <c r="E153" s="40"/>
      <c r="F153" s="188"/>
      <c r="G153" s="188"/>
      <c r="H153" s="188"/>
      <c r="I153" s="188"/>
      <c r="J153" s="188"/>
      <c r="K153" s="188"/>
      <c r="L153" s="188"/>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row>
    <row r="154" spans="2:102" ht="23.25" customHeight="1" x14ac:dyDescent="0.2">
      <c r="B154" s="29"/>
      <c r="C154" s="29"/>
      <c r="D154" s="40"/>
      <c r="E154" s="40"/>
      <c r="F154" s="188"/>
      <c r="G154" s="188"/>
      <c r="H154" s="188"/>
      <c r="I154" s="188"/>
      <c r="J154" s="188"/>
      <c r="K154" s="188"/>
      <c r="L154" s="188"/>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row>
    <row r="155" spans="2:102" ht="23.25" customHeight="1" x14ac:dyDescent="0.2">
      <c r="B155" s="29"/>
      <c r="C155" s="29"/>
      <c r="D155" s="40"/>
      <c r="E155" s="40"/>
      <c r="F155" s="188"/>
      <c r="G155" s="188"/>
      <c r="H155" s="188"/>
      <c r="I155" s="188"/>
      <c r="J155" s="188"/>
      <c r="K155" s="188"/>
      <c r="L155" s="188"/>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row>
    <row r="156" spans="2:102" ht="23.25" customHeight="1" x14ac:dyDescent="0.2">
      <c r="B156" s="29"/>
      <c r="C156" s="29"/>
      <c r="D156" s="40"/>
      <c r="E156" s="40"/>
      <c r="F156" s="188"/>
      <c r="G156" s="188"/>
      <c r="H156" s="188"/>
      <c r="I156" s="188"/>
      <c r="J156" s="188"/>
      <c r="K156" s="188"/>
      <c r="L156" s="188"/>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row>
    <row r="157" spans="2:102" ht="23.25" customHeight="1" x14ac:dyDescent="0.2">
      <c r="B157" s="29"/>
      <c r="C157" s="29"/>
      <c r="D157" s="40"/>
      <c r="E157" s="40"/>
      <c r="F157" s="188"/>
      <c r="G157" s="188"/>
      <c r="H157" s="188"/>
      <c r="I157" s="188"/>
      <c r="J157" s="188"/>
      <c r="K157" s="188"/>
      <c r="L157" s="188"/>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row>
    <row r="158" spans="2:102" ht="23.25" customHeight="1" x14ac:dyDescent="0.2">
      <c r="B158" s="29"/>
      <c r="C158" s="29"/>
      <c r="D158" s="40"/>
      <c r="E158" s="40"/>
      <c r="F158" s="188"/>
      <c r="G158" s="188"/>
      <c r="H158" s="188"/>
      <c r="I158" s="188"/>
      <c r="J158" s="188"/>
      <c r="K158" s="188"/>
      <c r="L158" s="188"/>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row>
    <row r="159" spans="2:102" ht="23.25" customHeight="1" x14ac:dyDescent="0.2">
      <c r="B159" s="29"/>
      <c r="C159" s="29"/>
      <c r="D159" s="40"/>
      <c r="E159" s="40"/>
      <c r="F159" s="188"/>
      <c r="G159" s="188"/>
      <c r="H159" s="188"/>
      <c r="I159" s="188"/>
      <c r="J159" s="188"/>
      <c r="K159" s="188"/>
      <c r="L159" s="188"/>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row>
    <row r="160" spans="2:102" ht="23.25" customHeight="1" x14ac:dyDescent="0.2">
      <c r="B160" s="29"/>
      <c r="C160" s="29"/>
      <c r="D160" s="40"/>
      <c r="E160" s="40"/>
      <c r="F160" s="188"/>
      <c r="G160" s="188"/>
      <c r="H160" s="188"/>
      <c r="I160" s="188"/>
      <c r="J160" s="188"/>
      <c r="K160" s="188"/>
      <c r="L160" s="188"/>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row>
    <row r="161" spans="2:102" ht="23.25" customHeight="1" x14ac:dyDescent="0.2">
      <c r="B161" s="29"/>
      <c r="C161" s="29"/>
      <c r="D161" s="40"/>
      <c r="E161" s="40"/>
      <c r="F161" s="188"/>
      <c r="G161" s="188"/>
      <c r="H161" s="188"/>
      <c r="I161" s="188"/>
      <c r="J161" s="188"/>
      <c r="K161" s="188"/>
      <c r="L161" s="188"/>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row>
    <row r="162" spans="2:102" ht="23.25" customHeight="1" x14ac:dyDescent="0.2">
      <c r="B162" s="29"/>
      <c r="C162" s="29"/>
      <c r="D162" s="40"/>
      <c r="E162" s="40"/>
      <c r="F162" s="188"/>
      <c r="G162" s="188"/>
      <c r="H162" s="188"/>
      <c r="I162" s="188"/>
      <c r="J162" s="188"/>
      <c r="K162" s="188"/>
      <c r="L162" s="188"/>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row>
    <row r="163" spans="2:102" ht="23.25" customHeight="1" x14ac:dyDescent="0.2">
      <c r="B163" s="29"/>
      <c r="C163" s="29"/>
      <c r="D163" s="40"/>
      <c r="E163" s="40"/>
      <c r="F163" s="188"/>
      <c r="G163" s="188"/>
      <c r="H163" s="188"/>
      <c r="I163" s="188"/>
      <c r="J163" s="188"/>
      <c r="K163" s="188"/>
      <c r="L163" s="188"/>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row>
    <row r="164" spans="2:102" ht="23.25" customHeight="1" x14ac:dyDescent="0.2">
      <c r="B164" s="29"/>
      <c r="C164" s="29"/>
      <c r="D164" s="40"/>
      <c r="E164" s="40"/>
      <c r="F164" s="188"/>
      <c r="G164" s="188"/>
      <c r="H164" s="188"/>
      <c r="I164" s="188"/>
      <c r="J164" s="188"/>
      <c r="K164" s="188"/>
      <c r="L164" s="188"/>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row>
    <row r="165" spans="2:102" ht="23.25" customHeight="1" x14ac:dyDescent="0.2">
      <c r="B165" s="29"/>
      <c r="C165" s="29"/>
      <c r="D165" s="40"/>
      <c r="E165" s="40"/>
      <c r="F165" s="188"/>
      <c r="G165" s="188"/>
      <c r="H165" s="188"/>
      <c r="I165" s="188"/>
      <c r="J165" s="188"/>
      <c r="K165" s="188"/>
      <c r="L165" s="188"/>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row>
    <row r="166" spans="2:102" ht="23.25" customHeight="1" x14ac:dyDescent="0.2">
      <c r="B166" s="29"/>
      <c r="C166" s="29"/>
      <c r="D166" s="40"/>
      <c r="E166" s="40"/>
      <c r="F166" s="188"/>
      <c r="G166" s="188"/>
      <c r="H166" s="188"/>
      <c r="I166" s="188"/>
      <c r="J166" s="188"/>
      <c r="K166" s="188"/>
      <c r="L166" s="188"/>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row>
    <row r="167" spans="2:102" ht="23.25" customHeight="1" x14ac:dyDescent="0.2">
      <c r="B167" s="29"/>
      <c r="C167" s="29"/>
      <c r="D167" s="40"/>
      <c r="E167" s="40"/>
      <c r="F167" s="188"/>
      <c r="G167" s="188"/>
      <c r="H167" s="188"/>
      <c r="I167" s="188"/>
      <c r="J167" s="188"/>
      <c r="K167" s="188"/>
      <c r="L167" s="188"/>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row>
    <row r="168" spans="2:102" ht="23.25" customHeight="1" x14ac:dyDescent="0.2">
      <c r="B168" s="29"/>
      <c r="C168" s="29"/>
      <c r="D168" s="40"/>
      <c r="E168" s="40"/>
      <c r="F168" s="188"/>
      <c r="G168" s="188"/>
      <c r="H168" s="188"/>
      <c r="I168" s="188"/>
      <c r="J168" s="188"/>
      <c r="K168" s="188"/>
      <c r="L168" s="188"/>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row>
    <row r="169" spans="2:102" ht="23.25" customHeight="1" x14ac:dyDescent="0.2">
      <c r="B169" s="29"/>
      <c r="C169" s="29"/>
      <c r="D169" s="40"/>
      <c r="E169" s="40"/>
      <c r="F169" s="188"/>
      <c r="G169" s="188"/>
      <c r="H169" s="188"/>
      <c r="I169" s="188"/>
      <c r="J169" s="188"/>
      <c r="K169" s="188"/>
      <c r="L169" s="188"/>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row>
    <row r="170" spans="2:102" ht="23.25" customHeight="1" x14ac:dyDescent="0.2">
      <c r="B170" s="29"/>
      <c r="C170" s="29"/>
      <c r="D170" s="40"/>
      <c r="E170" s="40"/>
      <c r="F170" s="188"/>
      <c r="G170" s="188"/>
      <c r="H170" s="188"/>
      <c r="I170" s="188"/>
      <c r="J170" s="188"/>
      <c r="K170" s="188"/>
      <c r="L170" s="188"/>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row>
    <row r="171" spans="2:102" ht="23.25" customHeight="1" x14ac:dyDescent="0.2">
      <c r="B171" s="29"/>
      <c r="C171" s="29"/>
      <c r="D171" s="40"/>
      <c r="E171" s="40"/>
      <c r="F171" s="188"/>
      <c r="G171" s="188"/>
      <c r="H171" s="188"/>
      <c r="I171" s="188"/>
      <c r="J171" s="188"/>
      <c r="K171" s="188"/>
      <c r="L171" s="188"/>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row>
    <row r="172" spans="2:102" ht="23.25" customHeight="1" x14ac:dyDescent="0.2">
      <c r="B172" s="29"/>
      <c r="C172" s="29"/>
      <c r="D172" s="40"/>
      <c r="E172" s="40"/>
      <c r="F172" s="188"/>
      <c r="G172" s="188"/>
      <c r="H172" s="188"/>
      <c r="I172" s="188"/>
      <c r="J172" s="188"/>
      <c r="K172" s="188"/>
      <c r="L172" s="188"/>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row>
    <row r="173" spans="2:102" ht="23.25" customHeight="1" x14ac:dyDescent="0.2">
      <c r="B173" s="29"/>
      <c r="C173" s="29"/>
      <c r="D173" s="40"/>
      <c r="E173" s="40"/>
      <c r="F173" s="188"/>
      <c r="G173" s="188"/>
      <c r="H173" s="188"/>
      <c r="I173" s="188"/>
      <c r="J173" s="188"/>
      <c r="K173" s="188"/>
      <c r="L173" s="188"/>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row>
    <row r="174" spans="2:102" ht="23.25" customHeight="1" x14ac:dyDescent="0.2">
      <c r="B174" s="29"/>
      <c r="C174" s="29"/>
      <c r="D174" s="40"/>
      <c r="E174" s="40"/>
      <c r="F174" s="188"/>
      <c r="G174" s="188"/>
      <c r="H174" s="188"/>
      <c r="I174" s="188"/>
      <c r="J174" s="188"/>
      <c r="K174" s="188"/>
      <c r="L174" s="188"/>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row>
    <row r="175" spans="2:102" ht="23.25" customHeight="1" x14ac:dyDescent="0.2">
      <c r="B175" s="29"/>
      <c r="C175" s="29"/>
      <c r="D175" s="40"/>
      <c r="E175" s="40"/>
      <c r="F175" s="188"/>
      <c r="G175" s="188"/>
      <c r="H175" s="188"/>
      <c r="I175" s="188"/>
      <c r="J175" s="188"/>
      <c r="K175" s="188"/>
      <c r="L175" s="188"/>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row>
    <row r="176" spans="2:102" ht="23.25" customHeight="1" x14ac:dyDescent="0.2">
      <c r="B176" s="29"/>
      <c r="C176" s="29"/>
      <c r="D176" s="40"/>
      <c r="E176" s="40"/>
      <c r="F176" s="188"/>
      <c r="G176" s="188"/>
      <c r="H176" s="188"/>
      <c r="I176" s="188"/>
      <c r="J176" s="188"/>
      <c r="K176" s="188"/>
      <c r="L176" s="188"/>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row>
    <row r="177" spans="2:102" ht="23.25" customHeight="1" x14ac:dyDescent="0.2">
      <c r="B177" s="29"/>
      <c r="C177" s="29"/>
      <c r="D177" s="40"/>
      <c r="E177" s="40"/>
      <c r="F177" s="188"/>
      <c r="G177" s="188"/>
      <c r="H177" s="188"/>
      <c r="I177" s="188"/>
      <c r="J177" s="188"/>
      <c r="K177" s="188"/>
      <c r="L177" s="188"/>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row>
    <row r="178" spans="2:102" ht="23.25" customHeight="1" x14ac:dyDescent="0.2">
      <c r="B178" s="29"/>
      <c r="C178" s="29"/>
      <c r="D178" s="40"/>
      <c r="E178" s="40"/>
      <c r="F178" s="188"/>
      <c r="G178" s="188"/>
      <c r="H178" s="188"/>
      <c r="I178" s="188"/>
      <c r="J178" s="188"/>
      <c r="K178" s="188"/>
      <c r="L178" s="188"/>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row>
    <row r="179" spans="2:102" ht="23.25" customHeight="1" x14ac:dyDescent="0.2">
      <c r="B179" s="29"/>
      <c r="C179" s="29"/>
      <c r="D179" s="40"/>
      <c r="E179" s="40"/>
      <c r="F179" s="188"/>
      <c r="G179" s="188"/>
      <c r="H179" s="188"/>
      <c r="I179" s="188"/>
      <c r="J179" s="188"/>
      <c r="K179" s="188"/>
      <c r="L179" s="188"/>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row>
    <row r="180" spans="2:102" ht="23.25" customHeight="1" x14ac:dyDescent="0.2">
      <c r="B180" s="29"/>
      <c r="C180" s="29"/>
      <c r="D180" s="40"/>
      <c r="E180" s="40"/>
      <c r="F180" s="188"/>
      <c r="G180" s="188"/>
      <c r="H180" s="188"/>
      <c r="I180" s="188"/>
      <c r="J180" s="188"/>
      <c r="K180" s="188"/>
      <c r="L180" s="188"/>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row>
    <row r="181" spans="2:102" ht="23.25" customHeight="1" x14ac:dyDescent="0.2">
      <c r="B181" s="29"/>
      <c r="C181" s="29"/>
      <c r="D181" s="40"/>
      <c r="E181" s="40"/>
      <c r="F181" s="188"/>
      <c r="G181" s="188"/>
      <c r="H181" s="188"/>
      <c r="I181" s="188"/>
      <c r="J181" s="188"/>
      <c r="K181" s="188"/>
      <c r="L181" s="188"/>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row>
    <row r="182" spans="2:102" ht="23.25" customHeight="1" x14ac:dyDescent="0.2">
      <c r="B182" s="29"/>
      <c r="C182" s="29"/>
      <c r="D182" s="40"/>
      <c r="E182" s="40"/>
      <c r="F182" s="188"/>
      <c r="G182" s="188"/>
      <c r="H182" s="188"/>
      <c r="I182" s="188"/>
      <c r="J182" s="188"/>
      <c r="K182" s="188"/>
      <c r="L182" s="188"/>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row>
    <row r="183" spans="2:102" ht="23.25" customHeight="1" x14ac:dyDescent="0.2">
      <c r="B183" s="29"/>
      <c r="C183" s="29"/>
      <c r="D183" s="40"/>
      <c r="E183" s="40"/>
      <c r="F183" s="188"/>
      <c r="G183" s="188"/>
      <c r="H183" s="188"/>
      <c r="I183" s="188"/>
      <c r="J183" s="188"/>
      <c r="K183" s="188"/>
      <c r="L183" s="188"/>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row>
    <row r="184" spans="2:102" ht="23.25" customHeight="1" x14ac:dyDescent="0.2">
      <c r="B184" s="29"/>
      <c r="C184" s="29"/>
      <c r="D184" s="40"/>
      <c r="E184" s="40"/>
      <c r="F184" s="188"/>
      <c r="G184" s="188"/>
      <c r="H184" s="188"/>
      <c r="I184" s="188"/>
      <c r="J184" s="188"/>
      <c r="K184" s="188"/>
      <c r="L184" s="188"/>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row>
    <row r="185" spans="2:102" ht="23.25" customHeight="1" x14ac:dyDescent="0.2">
      <c r="B185" s="29"/>
      <c r="C185" s="29"/>
      <c r="D185" s="40"/>
      <c r="E185" s="40"/>
      <c r="F185" s="188"/>
      <c r="G185" s="188"/>
      <c r="H185" s="188"/>
      <c r="I185" s="188"/>
      <c r="J185" s="188"/>
      <c r="K185" s="188"/>
      <c r="L185" s="188"/>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row>
    <row r="186" spans="2:102" ht="23.25" customHeight="1" x14ac:dyDescent="0.2">
      <c r="B186" s="29"/>
      <c r="C186" s="29"/>
      <c r="D186" s="40"/>
      <c r="E186" s="40"/>
      <c r="F186" s="188"/>
      <c r="G186" s="188"/>
      <c r="H186" s="188"/>
      <c r="I186" s="188"/>
      <c r="J186" s="188"/>
      <c r="K186" s="188"/>
      <c r="L186" s="188"/>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row>
    <row r="187" spans="2:102" ht="23.25" customHeight="1" x14ac:dyDescent="0.2">
      <c r="B187" s="29"/>
      <c r="C187" s="29"/>
      <c r="D187" s="40"/>
      <c r="E187" s="40"/>
      <c r="F187" s="188"/>
      <c r="G187" s="188"/>
      <c r="H187" s="188"/>
      <c r="I187" s="188"/>
      <c r="J187" s="188"/>
      <c r="K187" s="188"/>
      <c r="L187" s="188"/>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row>
    <row r="188" spans="2:102" ht="23.25" customHeight="1" x14ac:dyDescent="0.2">
      <c r="B188" s="29"/>
      <c r="C188" s="29"/>
      <c r="D188" s="40"/>
      <c r="E188" s="40"/>
      <c r="F188" s="188"/>
      <c r="G188" s="188"/>
      <c r="H188" s="188"/>
      <c r="I188" s="188"/>
      <c r="J188" s="188"/>
      <c r="K188" s="188"/>
      <c r="L188" s="188"/>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row>
    <row r="189" spans="2:102" ht="23.25" customHeight="1" x14ac:dyDescent="0.2">
      <c r="B189" s="29"/>
      <c r="C189" s="29"/>
      <c r="D189" s="40"/>
      <c r="E189" s="40"/>
      <c r="F189" s="188"/>
      <c r="G189" s="188"/>
      <c r="H189" s="188"/>
      <c r="I189" s="188"/>
      <c r="J189" s="188"/>
      <c r="K189" s="188"/>
      <c r="L189" s="188"/>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row>
    <row r="190" spans="2:102" ht="23.25" customHeight="1" x14ac:dyDescent="0.2">
      <c r="B190" s="29"/>
      <c r="C190" s="29"/>
      <c r="D190" s="40"/>
      <c r="E190" s="40"/>
      <c r="F190" s="188"/>
      <c r="G190" s="188"/>
      <c r="H190" s="188"/>
      <c r="I190" s="188"/>
      <c r="J190" s="188"/>
      <c r="K190" s="188"/>
      <c r="L190" s="188"/>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row>
    <row r="191" spans="2:102" ht="23.25" customHeight="1" x14ac:dyDescent="0.2">
      <c r="B191" s="29"/>
      <c r="C191" s="29"/>
      <c r="D191" s="40"/>
      <c r="E191" s="40"/>
      <c r="F191" s="188"/>
      <c r="G191" s="188"/>
      <c r="H191" s="188"/>
      <c r="I191" s="188"/>
      <c r="J191" s="188"/>
      <c r="K191" s="188"/>
      <c r="L191" s="188"/>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row>
    <row r="192" spans="2:102" ht="23.25" customHeight="1" x14ac:dyDescent="0.2">
      <c r="B192" s="29"/>
      <c r="C192" s="29"/>
      <c r="D192" s="40"/>
      <c r="E192" s="40"/>
      <c r="F192" s="188"/>
      <c r="G192" s="188"/>
      <c r="H192" s="188"/>
      <c r="I192" s="188"/>
      <c r="J192" s="188"/>
      <c r="K192" s="188"/>
      <c r="L192" s="188"/>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row>
    <row r="193" spans="2:102" ht="23.25" customHeight="1" x14ac:dyDescent="0.2">
      <c r="B193" s="29"/>
      <c r="C193" s="29"/>
      <c r="D193" s="40"/>
      <c r="E193" s="40"/>
      <c r="F193" s="188"/>
      <c r="G193" s="188"/>
      <c r="H193" s="188"/>
      <c r="I193" s="188"/>
      <c r="J193" s="188"/>
      <c r="K193" s="188"/>
      <c r="L193" s="188"/>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row>
    <row r="194" spans="2:102" ht="23.25" customHeight="1" x14ac:dyDescent="0.2">
      <c r="B194" s="29"/>
      <c r="C194" s="29"/>
      <c r="D194" s="40"/>
      <c r="E194" s="40"/>
      <c r="F194" s="188"/>
      <c r="G194" s="188"/>
      <c r="H194" s="188"/>
      <c r="I194" s="188"/>
      <c r="J194" s="188"/>
      <c r="K194" s="188"/>
      <c r="L194" s="188"/>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row>
    <row r="195" spans="2:102" ht="23.25" customHeight="1" x14ac:dyDescent="0.2">
      <c r="B195" s="29"/>
      <c r="C195" s="29"/>
      <c r="D195" s="40"/>
      <c r="E195" s="40"/>
      <c r="F195" s="188"/>
      <c r="G195" s="188"/>
      <c r="H195" s="188"/>
      <c r="I195" s="188"/>
      <c r="J195" s="188"/>
      <c r="K195" s="188"/>
      <c r="L195" s="188"/>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row>
    <row r="196" spans="2:102" ht="23.25" customHeight="1" x14ac:dyDescent="0.2">
      <c r="B196" s="29"/>
      <c r="C196" s="29"/>
      <c r="D196" s="40"/>
      <c r="E196" s="40"/>
      <c r="F196" s="188"/>
      <c r="G196" s="188"/>
      <c r="H196" s="188"/>
      <c r="I196" s="188"/>
      <c r="J196" s="188"/>
      <c r="K196" s="188"/>
      <c r="L196" s="188"/>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row>
    <row r="197" spans="2:102" ht="23.25" customHeight="1" x14ac:dyDescent="0.2">
      <c r="B197" s="29"/>
      <c r="C197" s="29"/>
      <c r="D197" s="40"/>
      <c r="E197" s="40"/>
      <c r="F197" s="188"/>
      <c r="G197" s="188"/>
      <c r="H197" s="188"/>
      <c r="I197" s="188"/>
      <c r="J197" s="188"/>
      <c r="K197" s="188"/>
      <c r="L197" s="188"/>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row>
    <row r="198" spans="2:102" ht="23.25" customHeight="1" x14ac:dyDescent="0.2">
      <c r="B198" s="29"/>
      <c r="C198" s="29"/>
      <c r="D198" s="40"/>
      <c r="E198" s="40"/>
      <c r="F198" s="188"/>
      <c r="G198" s="188"/>
      <c r="H198" s="188"/>
      <c r="I198" s="188"/>
      <c r="J198" s="188"/>
      <c r="K198" s="188"/>
      <c r="L198" s="188"/>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row>
    <row r="199" spans="2:102" ht="23.25" customHeight="1" x14ac:dyDescent="0.2">
      <c r="B199" s="29"/>
      <c r="C199" s="29"/>
      <c r="D199" s="40"/>
      <c r="E199" s="40"/>
      <c r="F199" s="188"/>
      <c r="G199" s="188"/>
      <c r="H199" s="188"/>
      <c r="I199" s="188"/>
      <c r="J199" s="188"/>
      <c r="K199" s="188"/>
      <c r="L199" s="188"/>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row>
    <row r="200" spans="2:102" ht="23.25" customHeight="1" x14ac:dyDescent="0.2">
      <c r="B200" s="29"/>
      <c r="C200" s="29"/>
      <c r="D200" s="40"/>
      <c r="E200" s="40"/>
      <c r="F200" s="188"/>
      <c r="G200" s="188"/>
      <c r="H200" s="188"/>
      <c r="I200" s="188"/>
      <c r="J200" s="188"/>
      <c r="K200" s="188"/>
      <c r="L200" s="188"/>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row>
    <row r="201" spans="2:102" ht="23.25" customHeight="1" x14ac:dyDescent="0.2">
      <c r="B201" s="29"/>
      <c r="C201" s="29"/>
      <c r="D201" s="40"/>
      <c r="E201" s="40"/>
      <c r="F201" s="188"/>
      <c r="G201" s="188"/>
      <c r="H201" s="188"/>
      <c r="I201" s="188"/>
      <c r="J201" s="188"/>
      <c r="K201" s="188"/>
      <c r="L201" s="188"/>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row>
    <row r="202" spans="2:102" ht="23.25" customHeight="1" x14ac:dyDescent="0.2">
      <c r="B202" s="29"/>
      <c r="C202" s="29"/>
      <c r="D202" s="40"/>
      <c r="E202" s="40"/>
      <c r="F202" s="188"/>
      <c r="G202" s="188"/>
      <c r="H202" s="188"/>
      <c r="I202" s="188"/>
      <c r="J202" s="188"/>
      <c r="K202" s="188"/>
      <c r="L202" s="188"/>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row>
    <row r="203" spans="2:102" ht="23.25" customHeight="1" x14ac:dyDescent="0.2">
      <c r="B203" s="29"/>
      <c r="C203" s="29"/>
      <c r="D203" s="40"/>
      <c r="E203" s="40"/>
      <c r="F203" s="188"/>
      <c r="G203" s="188"/>
      <c r="H203" s="188"/>
      <c r="I203" s="188"/>
      <c r="J203" s="188"/>
      <c r="K203" s="188"/>
      <c r="L203" s="188"/>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row>
    <row r="204" spans="2:102" ht="23.25" customHeight="1" x14ac:dyDescent="0.2">
      <c r="B204" s="29"/>
      <c r="C204" s="29"/>
      <c r="D204" s="40"/>
      <c r="E204" s="40"/>
      <c r="F204" s="188"/>
      <c r="G204" s="188"/>
      <c r="H204" s="188"/>
      <c r="I204" s="188"/>
      <c r="J204" s="188"/>
      <c r="K204" s="188"/>
      <c r="L204" s="188"/>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row>
    <row r="205" spans="2:102" ht="23.25" customHeight="1" x14ac:dyDescent="0.2">
      <c r="B205" s="29"/>
      <c r="C205" s="29"/>
      <c r="D205" s="40"/>
      <c r="E205" s="40"/>
      <c r="F205" s="188"/>
      <c r="G205" s="188"/>
      <c r="H205" s="188"/>
      <c r="I205" s="188"/>
      <c r="J205" s="188"/>
      <c r="K205" s="188"/>
      <c r="L205" s="188"/>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row>
    <row r="206" spans="2:102" ht="23.25" customHeight="1" x14ac:dyDescent="0.2">
      <c r="B206" s="29"/>
      <c r="C206" s="29"/>
      <c r="D206" s="40"/>
      <c r="E206" s="40"/>
      <c r="F206" s="188"/>
      <c r="G206" s="188"/>
      <c r="H206" s="188"/>
      <c r="I206" s="188"/>
      <c r="J206" s="188"/>
      <c r="K206" s="188"/>
      <c r="L206" s="188"/>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row>
    <row r="207" spans="2:102" ht="23.25" customHeight="1" x14ac:dyDescent="0.2">
      <c r="B207" s="29"/>
      <c r="C207" s="29"/>
      <c r="D207" s="40"/>
      <c r="E207" s="40"/>
      <c r="F207" s="188"/>
      <c r="G207" s="188"/>
      <c r="H207" s="188"/>
      <c r="I207" s="188"/>
      <c r="J207" s="188"/>
      <c r="K207" s="188"/>
      <c r="L207" s="188"/>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row>
    <row r="208" spans="2:102" ht="23.25" customHeight="1" x14ac:dyDescent="0.2">
      <c r="B208" s="29"/>
      <c r="C208" s="29"/>
      <c r="D208" s="40"/>
      <c r="E208" s="40"/>
      <c r="F208" s="188"/>
      <c r="G208" s="188"/>
      <c r="H208" s="188"/>
      <c r="I208" s="188"/>
      <c r="J208" s="188"/>
      <c r="K208" s="188"/>
      <c r="L208" s="188"/>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row>
    <row r="209" spans="2:102" ht="23.25" customHeight="1" x14ac:dyDescent="0.2">
      <c r="B209" s="29"/>
      <c r="C209" s="29"/>
      <c r="D209" s="40"/>
      <c r="E209" s="40"/>
      <c r="F209" s="188"/>
      <c r="G209" s="188"/>
      <c r="H209" s="188"/>
      <c r="I209" s="188"/>
      <c r="J209" s="188"/>
      <c r="K209" s="188"/>
      <c r="L209" s="188"/>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row>
    <row r="210" spans="2:102" ht="23.25" customHeight="1" x14ac:dyDescent="0.2">
      <c r="B210" s="29"/>
      <c r="C210" s="29"/>
      <c r="D210" s="40"/>
      <c r="E210" s="40"/>
      <c r="F210" s="188"/>
      <c r="G210" s="188"/>
      <c r="H210" s="188"/>
      <c r="I210" s="188"/>
      <c r="J210" s="188"/>
      <c r="K210" s="188"/>
      <c r="L210" s="188"/>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row>
    <row r="211" spans="2:102" ht="23.25" customHeight="1" x14ac:dyDescent="0.2">
      <c r="B211" s="29"/>
      <c r="C211" s="29"/>
      <c r="D211" s="40"/>
      <c r="E211" s="40"/>
      <c r="F211" s="188"/>
      <c r="G211" s="188"/>
      <c r="H211" s="188"/>
      <c r="I211" s="188"/>
      <c r="J211" s="188"/>
      <c r="K211" s="188"/>
      <c r="L211" s="188"/>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row>
    <row r="212" spans="2:102" ht="23.25" customHeight="1" x14ac:dyDescent="0.2">
      <c r="B212" s="29"/>
      <c r="C212" s="29"/>
      <c r="D212" s="40"/>
      <c r="E212" s="40"/>
      <c r="F212" s="188"/>
      <c r="G212" s="188"/>
      <c r="H212" s="188"/>
      <c r="I212" s="188"/>
      <c r="J212" s="188"/>
      <c r="K212" s="188"/>
      <c r="L212" s="188"/>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row>
    <row r="213" spans="2:102" ht="23.25" customHeight="1" x14ac:dyDescent="0.2">
      <c r="B213" s="29"/>
      <c r="C213" s="29"/>
      <c r="D213" s="40"/>
      <c r="E213" s="40"/>
      <c r="F213" s="188"/>
      <c r="G213" s="188"/>
      <c r="H213" s="188"/>
      <c r="I213" s="188"/>
      <c r="J213" s="188"/>
      <c r="K213" s="188"/>
      <c r="L213" s="188"/>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row>
    <row r="214" spans="2:102" ht="23.25" customHeight="1" x14ac:dyDescent="0.2">
      <c r="B214" s="29"/>
      <c r="C214" s="29"/>
      <c r="D214" s="40"/>
      <c r="E214" s="40"/>
      <c r="F214" s="188"/>
      <c r="G214" s="188"/>
      <c r="H214" s="188"/>
      <c r="I214" s="188"/>
      <c r="J214" s="188"/>
      <c r="K214" s="188"/>
      <c r="L214" s="188"/>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row>
    <row r="215" spans="2:102" ht="23.25" customHeight="1" x14ac:dyDescent="0.2">
      <c r="B215" s="29"/>
      <c r="C215" s="29"/>
      <c r="D215" s="40"/>
      <c r="E215" s="40"/>
      <c r="F215" s="188"/>
      <c r="G215" s="188"/>
      <c r="H215" s="188"/>
      <c r="I215" s="188"/>
      <c r="J215" s="188"/>
      <c r="K215" s="188"/>
      <c r="L215" s="188"/>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row>
    <row r="216" spans="2:102" ht="23.25" customHeight="1" x14ac:dyDescent="0.2">
      <c r="B216" s="29"/>
      <c r="C216" s="29"/>
      <c r="D216" s="40"/>
      <c r="E216" s="40"/>
      <c r="F216" s="188"/>
      <c r="G216" s="188"/>
      <c r="H216" s="188"/>
      <c r="I216" s="188"/>
      <c r="J216" s="188"/>
      <c r="K216" s="188"/>
      <c r="L216" s="188"/>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row>
    <row r="217" spans="2:102" ht="23.25" customHeight="1" x14ac:dyDescent="0.2">
      <c r="B217" s="29"/>
      <c r="C217" s="29"/>
      <c r="D217" s="40"/>
      <c r="E217" s="40"/>
      <c r="F217" s="188"/>
      <c r="G217" s="188"/>
      <c r="H217" s="188"/>
      <c r="I217" s="188"/>
      <c r="J217" s="188"/>
      <c r="K217" s="188"/>
      <c r="L217" s="188"/>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row>
    <row r="218" spans="2:102" ht="23.25" customHeight="1" x14ac:dyDescent="0.2">
      <c r="B218" s="29"/>
      <c r="C218" s="29"/>
      <c r="D218" s="40"/>
      <c r="E218" s="40"/>
      <c r="F218" s="188"/>
      <c r="G218" s="188"/>
      <c r="H218" s="188"/>
      <c r="I218" s="188"/>
      <c r="J218" s="188"/>
      <c r="K218" s="188"/>
      <c r="L218" s="188"/>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row>
    <row r="219" spans="2:102" ht="23.25" customHeight="1" x14ac:dyDescent="0.2">
      <c r="B219" s="29"/>
      <c r="C219" s="29"/>
      <c r="D219" s="40"/>
      <c r="E219" s="40"/>
      <c r="F219" s="188"/>
      <c r="G219" s="188"/>
      <c r="H219" s="188"/>
      <c r="I219" s="188"/>
      <c r="J219" s="188"/>
      <c r="K219" s="188"/>
      <c r="L219" s="188"/>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row>
    <row r="220" spans="2:102" ht="23.25" customHeight="1" x14ac:dyDescent="0.2">
      <c r="B220" s="29"/>
      <c r="C220" s="29"/>
      <c r="D220" s="40"/>
      <c r="E220" s="40"/>
      <c r="F220" s="188"/>
      <c r="G220" s="188"/>
      <c r="H220" s="188"/>
      <c r="I220" s="188"/>
      <c r="J220" s="188"/>
      <c r="K220" s="188"/>
      <c r="L220" s="188"/>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row>
    <row r="221" spans="2:102" ht="23.25" customHeight="1" x14ac:dyDescent="0.2">
      <c r="B221" s="29"/>
      <c r="C221" s="29"/>
      <c r="D221" s="40"/>
      <c r="E221" s="40"/>
      <c r="F221" s="188"/>
      <c r="G221" s="188"/>
      <c r="H221" s="188"/>
      <c r="I221" s="188"/>
      <c r="J221" s="188"/>
      <c r="K221" s="188"/>
      <c r="L221" s="188"/>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row>
    <row r="222" spans="2:102" ht="23.25" customHeight="1" x14ac:dyDescent="0.2">
      <c r="B222" s="29"/>
      <c r="C222" s="29"/>
      <c r="D222" s="40"/>
      <c r="E222" s="40"/>
      <c r="F222" s="188"/>
      <c r="G222" s="188"/>
      <c r="H222" s="188"/>
      <c r="I222" s="188"/>
      <c r="J222" s="188"/>
      <c r="K222" s="188"/>
      <c r="L222" s="188"/>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row>
    <row r="223" spans="2:102" ht="23.25" customHeight="1" x14ac:dyDescent="0.2">
      <c r="B223" s="29"/>
      <c r="C223" s="29"/>
      <c r="D223" s="40"/>
      <c r="E223" s="40"/>
      <c r="F223" s="188"/>
      <c r="G223" s="188"/>
      <c r="H223" s="188"/>
      <c r="I223" s="188"/>
      <c r="J223" s="188"/>
      <c r="K223" s="188"/>
      <c r="L223" s="188"/>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row>
    <row r="224" spans="2:102" ht="23.25" customHeight="1" x14ac:dyDescent="0.2">
      <c r="B224" s="29"/>
      <c r="C224" s="29"/>
      <c r="D224" s="40"/>
      <c r="E224" s="40"/>
      <c r="F224" s="188"/>
      <c r="G224" s="188"/>
      <c r="H224" s="188"/>
      <c r="I224" s="188"/>
      <c r="J224" s="188"/>
      <c r="K224" s="188"/>
      <c r="L224" s="188"/>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row>
    <row r="225" spans="2:102" ht="23.25" customHeight="1" x14ac:dyDescent="0.2">
      <c r="B225" s="29"/>
      <c r="C225" s="29"/>
      <c r="D225" s="40"/>
      <c r="E225" s="40"/>
      <c r="F225" s="188"/>
      <c r="G225" s="188"/>
      <c r="H225" s="188"/>
      <c r="I225" s="188"/>
      <c r="J225" s="188"/>
      <c r="K225" s="188"/>
      <c r="L225" s="188"/>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row>
    <row r="226" spans="2:102" ht="23.25" customHeight="1" x14ac:dyDescent="0.2">
      <c r="B226" s="29"/>
      <c r="C226" s="29"/>
      <c r="D226" s="40"/>
      <c r="E226" s="40"/>
      <c r="F226" s="188"/>
      <c r="G226" s="188"/>
      <c r="H226" s="188"/>
      <c r="I226" s="188"/>
      <c r="J226" s="188"/>
      <c r="K226" s="188"/>
      <c r="L226" s="188"/>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row>
    <row r="227" spans="2:102" ht="23.25" customHeight="1" x14ac:dyDescent="0.2">
      <c r="B227" s="29"/>
      <c r="C227" s="29"/>
      <c r="D227" s="40"/>
      <c r="E227" s="40"/>
      <c r="F227" s="188"/>
      <c r="G227" s="188"/>
      <c r="H227" s="188"/>
      <c r="I227" s="188"/>
      <c r="J227" s="188"/>
      <c r="K227" s="188"/>
      <c r="L227" s="188"/>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row>
    <row r="228" spans="2:102" ht="23.25" customHeight="1" x14ac:dyDescent="0.2">
      <c r="B228" s="29"/>
      <c r="C228" s="29"/>
      <c r="D228" s="40"/>
      <c r="E228" s="40"/>
      <c r="F228" s="188"/>
      <c r="G228" s="188"/>
      <c r="H228" s="188"/>
      <c r="I228" s="188"/>
      <c r="J228" s="188"/>
      <c r="K228" s="188"/>
      <c r="L228" s="188"/>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row>
    <row r="229" spans="2:102" ht="23.25" customHeight="1" x14ac:dyDescent="0.2">
      <c r="B229" s="29"/>
      <c r="C229" s="29"/>
      <c r="D229" s="40"/>
      <c r="E229" s="40"/>
      <c r="F229" s="188"/>
      <c r="G229" s="188"/>
      <c r="H229" s="188"/>
      <c r="I229" s="188"/>
      <c r="J229" s="188"/>
      <c r="K229" s="188"/>
      <c r="L229" s="188"/>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row>
    <row r="230" spans="2:102" ht="23.25" customHeight="1" x14ac:dyDescent="0.2">
      <c r="B230" s="29"/>
      <c r="C230" s="29"/>
      <c r="D230" s="40"/>
      <c r="E230" s="40"/>
      <c r="F230" s="188"/>
      <c r="G230" s="188"/>
      <c r="H230" s="188"/>
      <c r="I230" s="188"/>
      <c r="J230" s="188"/>
      <c r="K230" s="188"/>
      <c r="L230" s="188"/>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row>
    <row r="231" spans="2:102" ht="23.25" customHeight="1" x14ac:dyDescent="0.2">
      <c r="B231" s="29"/>
      <c r="C231" s="29"/>
      <c r="D231" s="40"/>
      <c r="E231" s="40"/>
      <c r="F231" s="188"/>
      <c r="G231" s="188"/>
      <c r="H231" s="188"/>
      <c r="I231" s="188"/>
      <c r="J231" s="188"/>
      <c r="K231" s="188"/>
      <c r="L231" s="188"/>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row>
    <row r="232" spans="2:102" ht="23.25" customHeight="1" x14ac:dyDescent="0.2">
      <c r="B232" s="29"/>
      <c r="C232" s="29"/>
      <c r="D232" s="40"/>
      <c r="E232" s="40"/>
      <c r="F232" s="188"/>
      <c r="G232" s="188"/>
      <c r="H232" s="188"/>
      <c r="I232" s="188"/>
      <c r="J232" s="188"/>
      <c r="K232" s="188"/>
      <c r="L232" s="188"/>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row>
    <row r="233" spans="2:102" ht="23.25" customHeight="1" x14ac:dyDescent="0.2">
      <c r="B233" s="29"/>
      <c r="C233" s="29"/>
      <c r="D233" s="40"/>
      <c r="E233" s="40"/>
      <c r="F233" s="188"/>
      <c r="G233" s="188"/>
      <c r="H233" s="188"/>
      <c r="I233" s="188"/>
      <c r="J233" s="188"/>
      <c r="K233" s="188"/>
      <c r="L233" s="188"/>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row>
    <row r="234" spans="2:102" ht="23.25" customHeight="1" x14ac:dyDescent="0.2">
      <c r="B234" s="29"/>
      <c r="C234" s="29"/>
      <c r="D234" s="40"/>
      <c r="E234" s="40"/>
      <c r="F234" s="188"/>
      <c r="G234" s="188"/>
      <c r="H234" s="188"/>
      <c r="I234" s="188"/>
      <c r="J234" s="188"/>
      <c r="K234" s="188"/>
      <c r="L234" s="188"/>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row>
    <row r="235" spans="2:102" ht="23.25" customHeight="1" x14ac:dyDescent="0.2">
      <c r="B235" s="29"/>
      <c r="C235" s="29"/>
      <c r="D235" s="40"/>
      <c r="E235" s="40"/>
      <c r="F235" s="188"/>
      <c r="G235" s="188"/>
      <c r="H235" s="188"/>
      <c r="I235" s="188"/>
      <c r="J235" s="188"/>
      <c r="K235" s="188"/>
      <c r="L235" s="188"/>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row>
    <row r="236" spans="2:102" ht="23.25" customHeight="1" x14ac:dyDescent="0.2">
      <c r="B236" s="29"/>
      <c r="C236" s="29"/>
      <c r="D236" s="40"/>
      <c r="E236" s="40"/>
      <c r="F236" s="188"/>
      <c r="G236" s="188"/>
      <c r="H236" s="188"/>
      <c r="I236" s="188"/>
      <c r="J236" s="188"/>
      <c r="K236" s="188"/>
      <c r="L236" s="188"/>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row>
    <row r="237" spans="2:102" ht="23.25" customHeight="1" x14ac:dyDescent="0.2">
      <c r="B237" s="29"/>
      <c r="C237" s="29"/>
      <c r="D237" s="40"/>
      <c r="E237" s="40"/>
      <c r="F237" s="188"/>
      <c r="G237" s="188"/>
      <c r="H237" s="188"/>
      <c r="I237" s="188"/>
      <c r="J237" s="188"/>
      <c r="K237" s="188"/>
      <c r="L237" s="188"/>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row>
    <row r="238" spans="2:102" ht="23.25" customHeight="1" x14ac:dyDescent="0.2">
      <c r="B238" s="29"/>
      <c r="C238" s="29"/>
      <c r="D238" s="40"/>
      <c r="E238" s="40"/>
      <c r="F238" s="188"/>
      <c r="G238" s="188"/>
      <c r="H238" s="188"/>
      <c r="I238" s="188"/>
      <c r="J238" s="188"/>
      <c r="K238" s="188"/>
      <c r="L238" s="188"/>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row>
    <row r="239" spans="2:102" ht="23.25" customHeight="1" x14ac:dyDescent="0.2">
      <c r="B239" s="29"/>
      <c r="C239" s="29"/>
      <c r="D239" s="40"/>
      <c r="E239" s="40"/>
      <c r="F239" s="188"/>
      <c r="G239" s="188"/>
      <c r="H239" s="188"/>
      <c r="I239" s="188"/>
      <c r="J239" s="188"/>
      <c r="K239" s="188"/>
      <c r="L239" s="188"/>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row>
    <row r="240" spans="2:102" ht="23.25" customHeight="1" x14ac:dyDescent="0.2">
      <c r="B240" s="29"/>
      <c r="C240" s="29"/>
      <c r="D240" s="40"/>
      <c r="E240" s="40"/>
      <c r="F240" s="188"/>
      <c r="G240" s="188"/>
      <c r="H240" s="188"/>
      <c r="I240" s="188"/>
      <c r="J240" s="188"/>
      <c r="K240" s="188"/>
      <c r="L240" s="188"/>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row>
    <row r="241" spans="2:102" ht="23.25" customHeight="1" x14ac:dyDescent="0.2">
      <c r="B241" s="29"/>
      <c r="C241" s="29"/>
      <c r="D241" s="40"/>
      <c r="E241" s="40"/>
      <c r="F241" s="188"/>
      <c r="G241" s="188"/>
      <c r="H241" s="188"/>
      <c r="I241" s="188"/>
      <c r="J241" s="188"/>
      <c r="K241" s="188"/>
      <c r="L241" s="188"/>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row>
    <row r="242" spans="2:102" ht="23.25" customHeight="1" x14ac:dyDescent="0.2">
      <c r="B242" s="29"/>
      <c r="C242" s="29"/>
      <c r="D242" s="40"/>
      <c r="E242" s="40"/>
      <c r="F242" s="188"/>
      <c r="G242" s="188"/>
      <c r="H242" s="188"/>
      <c r="I242" s="188"/>
      <c r="J242" s="188"/>
      <c r="K242" s="188"/>
      <c r="L242" s="188"/>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row>
    <row r="243" spans="2:102" ht="23.25" customHeight="1" x14ac:dyDescent="0.2">
      <c r="B243" s="29"/>
      <c r="C243" s="29"/>
      <c r="D243" s="40"/>
      <c r="E243" s="40"/>
      <c r="F243" s="188"/>
      <c r="G243" s="188"/>
      <c r="H243" s="188"/>
      <c r="I243" s="188"/>
      <c r="J243" s="188"/>
      <c r="K243" s="188"/>
      <c r="L243" s="188"/>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row>
    <row r="244" spans="2:102" ht="23.25" customHeight="1" x14ac:dyDescent="0.2">
      <c r="B244" s="29"/>
      <c r="C244" s="29"/>
      <c r="D244" s="40"/>
      <c r="E244" s="40"/>
      <c r="F244" s="188"/>
      <c r="G244" s="188"/>
      <c r="H244" s="188"/>
      <c r="I244" s="188"/>
      <c r="J244" s="188"/>
      <c r="K244" s="188"/>
      <c r="L244" s="188"/>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row>
    <row r="245" spans="2:102" ht="23.25" customHeight="1" x14ac:dyDescent="0.2">
      <c r="B245" s="29"/>
      <c r="C245" s="29"/>
      <c r="D245" s="40"/>
      <c r="E245" s="40"/>
      <c r="F245" s="188"/>
      <c r="G245" s="188"/>
      <c r="H245" s="188"/>
      <c r="I245" s="188"/>
      <c r="J245" s="188"/>
      <c r="K245" s="188"/>
      <c r="L245" s="188"/>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row>
    <row r="246" spans="2:102" ht="23.25" customHeight="1" x14ac:dyDescent="0.2">
      <c r="B246" s="29"/>
      <c r="C246" s="29"/>
      <c r="D246" s="40"/>
      <c r="E246" s="40"/>
      <c r="F246" s="188"/>
      <c r="G246" s="188"/>
      <c r="H246" s="188"/>
      <c r="I246" s="188"/>
      <c r="J246" s="188"/>
      <c r="K246" s="188"/>
      <c r="L246" s="188"/>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row>
    <row r="247" spans="2:102" ht="23.25" customHeight="1" x14ac:dyDescent="0.2">
      <c r="B247" s="29"/>
      <c r="C247" s="29"/>
      <c r="D247" s="40"/>
      <c r="E247" s="40"/>
      <c r="F247" s="188"/>
      <c r="G247" s="188"/>
      <c r="H247" s="188"/>
      <c r="I247" s="188"/>
      <c r="J247" s="188"/>
      <c r="K247" s="188"/>
      <c r="L247" s="188"/>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row>
    <row r="248" spans="2:102" ht="23.25" customHeight="1" x14ac:dyDescent="0.2">
      <c r="B248" s="29"/>
      <c r="C248" s="29"/>
      <c r="D248" s="40"/>
      <c r="E248" s="40"/>
      <c r="F248" s="188"/>
      <c r="G248" s="188"/>
      <c r="H248" s="188"/>
      <c r="I248" s="188"/>
      <c r="J248" s="188"/>
      <c r="K248" s="188"/>
      <c r="L248" s="188"/>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row>
    <row r="249" spans="2:102" ht="23.25" customHeight="1" x14ac:dyDescent="0.2">
      <c r="B249" s="29"/>
      <c r="C249" s="29"/>
      <c r="D249" s="40"/>
      <c r="E249" s="40"/>
      <c r="F249" s="188"/>
      <c r="G249" s="188"/>
      <c r="H249" s="188"/>
      <c r="I249" s="188"/>
      <c r="J249" s="188"/>
      <c r="K249" s="188"/>
      <c r="L249" s="188"/>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row>
    <row r="250" spans="2:102" ht="23.25" customHeight="1" x14ac:dyDescent="0.2">
      <c r="B250" s="29"/>
      <c r="C250" s="29"/>
      <c r="D250" s="40"/>
      <c r="E250" s="40"/>
      <c r="F250" s="188"/>
      <c r="G250" s="188"/>
      <c r="H250" s="188"/>
      <c r="I250" s="188"/>
      <c r="J250" s="188"/>
      <c r="K250" s="188"/>
      <c r="L250" s="188"/>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row>
    <row r="251" spans="2:102" ht="23.25" customHeight="1" x14ac:dyDescent="0.2">
      <c r="B251" s="29"/>
      <c r="C251" s="29"/>
      <c r="D251" s="40"/>
      <c r="E251" s="40"/>
      <c r="F251" s="188"/>
      <c r="G251" s="188"/>
      <c r="H251" s="188"/>
      <c r="I251" s="188"/>
      <c r="J251" s="188"/>
      <c r="K251" s="188"/>
      <c r="L251" s="188"/>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row>
    <row r="252" spans="2:102" ht="23.25" customHeight="1" x14ac:dyDescent="0.2">
      <c r="B252" s="29"/>
      <c r="C252" s="29"/>
      <c r="D252" s="40"/>
      <c r="E252" s="40"/>
      <c r="F252" s="188"/>
      <c r="G252" s="188"/>
      <c r="H252" s="188"/>
      <c r="I252" s="188"/>
      <c r="J252" s="188"/>
      <c r="K252" s="188"/>
      <c r="L252" s="188"/>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row>
    <row r="253" spans="2:102" ht="23.25" customHeight="1" x14ac:dyDescent="0.2">
      <c r="B253" s="29"/>
      <c r="C253" s="29"/>
      <c r="D253" s="40"/>
      <c r="E253" s="40"/>
      <c r="F253" s="188"/>
      <c r="G253" s="188"/>
      <c r="H253" s="188"/>
      <c r="I253" s="188"/>
      <c r="J253" s="188"/>
      <c r="K253" s="188"/>
      <c r="L253" s="188"/>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row>
    <row r="254" spans="2:102" ht="23.25" customHeight="1" x14ac:dyDescent="0.2">
      <c r="B254" s="29"/>
      <c r="C254" s="29"/>
      <c r="D254" s="40"/>
      <c r="E254" s="40"/>
      <c r="F254" s="188"/>
      <c r="G254" s="188"/>
      <c r="H254" s="188"/>
      <c r="I254" s="188"/>
      <c r="J254" s="188"/>
      <c r="K254" s="188"/>
      <c r="L254" s="188"/>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row>
    <row r="255" spans="2:102" ht="23.25" customHeight="1" x14ac:dyDescent="0.2">
      <c r="B255" s="29"/>
      <c r="C255" s="29"/>
      <c r="D255" s="40"/>
      <c r="E255" s="40"/>
      <c r="F255" s="188"/>
      <c r="G255" s="188"/>
      <c r="H255" s="188"/>
      <c r="I255" s="188"/>
      <c r="J255" s="188"/>
      <c r="K255" s="188"/>
      <c r="L255" s="188"/>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row>
    <row r="256" spans="2:102" ht="23.25" customHeight="1" x14ac:dyDescent="0.2">
      <c r="B256" s="29"/>
      <c r="C256" s="29"/>
      <c r="D256" s="40"/>
      <c r="E256" s="40"/>
      <c r="F256" s="188"/>
      <c r="G256" s="188"/>
      <c r="H256" s="188"/>
      <c r="I256" s="188"/>
      <c r="J256" s="188"/>
      <c r="K256" s="188"/>
      <c r="L256" s="188"/>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row>
    <row r="257" spans="2:102" ht="23.25" customHeight="1" x14ac:dyDescent="0.2">
      <c r="B257" s="29"/>
      <c r="C257" s="29"/>
      <c r="D257" s="40"/>
      <c r="E257" s="40"/>
      <c r="F257" s="188"/>
      <c r="G257" s="188"/>
      <c r="H257" s="188"/>
      <c r="I257" s="188"/>
      <c r="J257" s="188"/>
      <c r="K257" s="188"/>
      <c r="L257" s="188"/>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row>
    <row r="258" spans="2:102" ht="23.25" customHeight="1" x14ac:dyDescent="0.2">
      <c r="B258" s="29"/>
      <c r="C258" s="29"/>
      <c r="D258" s="40"/>
      <c r="E258" s="40"/>
      <c r="F258" s="188"/>
      <c r="G258" s="188"/>
      <c r="H258" s="188"/>
      <c r="I258" s="188"/>
      <c r="J258" s="188"/>
      <c r="K258" s="188"/>
      <c r="L258" s="188"/>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row>
    <row r="259" spans="2:102" ht="23.25" customHeight="1" x14ac:dyDescent="0.2">
      <c r="B259" s="29"/>
      <c r="C259" s="29"/>
      <c r="D259" s="40"/>
      <c r="E259" s="40"/>
      <c r="F259" s="188"/>
      <c r="G259" s="188"/>
      <c r="H259" s="188"/>
      <c r="I259" s="188"/>
      <c r="J259" s="188"/>
      <c r="K259" s="188"/>
      <c r="L259" s="188"/>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row>
    <row r="260" spans="2:102" ht="23.25" customHeight="1" x14ac:dyDescent="0.2">
      <c r="B260" s="29"/>
      <c r="C260" s="29"/>
      <c r="D260" s="40"/>
      <c r="E260" s="40"/>
      <c r="F260" s="188"/>
      <c r="G260" s="188"/>
      <c r="H260" s="188"/>
      <c r="I260" s="188"/>
      <c r="J260" s="188"/>
      <c r="K260" s="188"/>
      <c r="L260" s="188"/>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row>
    <row r="261" spans="2:102" ht="23.25" customHeight="1" x14ac:dyDescent="0.2">
      <c r="B261" s="29"/>
      <c r="C261" s="29"/>
      <c r="D261" s="40"/>
      <c r="E261" s="40"/>
      <c r="F261" s="188"/>
      <c r="G261" s="188"/>
      <c r="H261" s="188"/>
      <c r="I261" s="188"/>
      <c r="J261" s="188"/>
      <c r="K261" s="188"/>
      <c r="L261" s="188"/>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row>
    <row r="262" spans="2:102" ht="23.25" customHeight="1" x14ac:dyDescent="0.2">
      <c r="B262" s="29"/>
      <c r="C262" s="29"/>
      <c r="D262" s="40"/>
      <c r="E262" s="40"/>
      <c r="F262" s="188"/>
      <c r="G262" s="188"/>
      <c r="H262" s="188"/>
      <c r="I262" s="188"/>
      <c r="J262" s="188"/>
      <c r="K262" s="188"/>
      <c r="L262" s="188"/>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row>
    <row r="263" spans="2:102" ht="23.25" customHeight="1" x14ac:dyDescent="0.2">
      <c r="B263" s="29"/>
      <c r="C263" s="29"/>
      <c r="D263" s="40"/>
      <c r="E263" s="40"/>
      <c r="F263" s="188"/>
      <c r="G263" s="188"/>
      <c r="H263" s="188"/>
      <c r="I263" s="188"/>
      <c r="J263" s="188"/>
      <c r="K263" s="188"/>
      <c r="L263" s="188"/>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row>
    <row r="264" spans="2:102" ht="23.25" customHeight="1" x14ac:dyDescent="0.2">
      <c r="B264" s="29"/>
      <c r="C264" s="29"/>
      <c r="D264" s="40"/>
      <c r="E264" s="40"/>
      <c r="F264" s="188"/>
      <c r="G264" s="188"/>
      <c r="H264" s="188"/>
      <c r="I264" s="188"/>
      <c r="J264" s="188"/>
      <c r="K264" s="188"/>
      <c r="L264" s="188"/>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row>
    <row r="265" spans="2:102" ht="23.25" customHeight="1" x14ac:dyDescent="0.2">
      <c r="B265" s="29"/>
      <c r="C265" s="29"/>
      <c r="D265" s="40"/>
      <c r="E265" s="40"/>
      <c r="F265" s="188"/>
      <c r="G265" s="188"/>
      <c r="H265" s="188"/>
      <c r="I265" s="188"/>
      <c r="J265" s="188"/>
      <c r="K265" s="188"/>
      <c r="L265" s="188"/>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row>
    <row r="266" spans="2:102" ht="23.25" customHeight="1" x14ac:dyDescent="0.2">
      <c r="B266" s="29"/>
      <c r="C266" s="29"/>
      <c r="D266" s="40"/>
      <c r="E266" s="40"/>
      <c r="F266" s="188"/>
      <c r="G266" s="188"/>
      <c r="H266" s="188"/>
      <c r="I266" s="188"/>
      <c r="J266" s="188"/>
      <c r="K266" s="188"/>
      <c r="L266" s="188"/>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row>
    <row r="267" spans="2:102" ht="23.25" customHeight="1" x14ac:dyDescent="0.2">
      <c r="B267" s="29"/>
      <c r="C267" s="29"/>
      <c r="D267" s="40"/>
      <c r="E267" s="40"/>
      <c r="F267" s="188"/>
      <c r="G267" s="188"/>
      <c r="H267" s="188"/>
      <c r="I267" s="188"/>
      <c r="J267" s="188"/>
      <c r="K267" s="188"/>
      <c r="L267" s="188"/>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row>
    <row r="268" spans="2:102" ht="23.25" customHeight="1" x14ac:dyDescent="0.2">
      <c r="B268" s="29"/>
      <c r="C268" s="29"/>
      <c r="D268" s="40"/>
      <c r="E268" s="40"/>
      <c r="F268" s="188"/>
      <c r="G268" s="188"/>
      <c r="H268" s="188"/>
      <c r="I268" s="188"/>
      <c r="J268" s="188"/>
      <c r="K268" s="188"/>
      <c r="L268" s="188"/>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row>
    <row r="269" spans="2:102" ht="23.25" customHeight="1" x14ac:dyDescent="0.2">
      <c r="B269" s="29"/>
      <c r="C269" s="29"/>
      <c r="D269" s="40"/>
      <c r="E269" s="40"/>
      <c r="F269" s="188"/>
      <c r="G269" s="188"/>
      <c r="H269" s="188"/>
      <c r="I269" s="188"/>
      <c r="J269" s="188"/>
      <c r="K269" s="188"/>
      <c r="L269" s="188"/>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row>
    <row r="270" spans="2:102" ht="23.25" customHeight="1" x14ac:dyDescent="0.2">
      <c r="B270" s="29"/>
      <c r="C270" s="29"/>
      <c r="D270" s="40"/>
      <c r="E270" s="40"/>
      <c r="F270" s="188"/>
      <c r="G270" s="188"/>
      <c r="H270" s="188"/>
      <c r="I270" s="188"/>
      <c r="J270" s="188"/>
      <c r="K270" s="188"/>
      <c r="L270" s="188"/>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row>
    <row r="271" spans="2:102" ht="23.25" customHeight="1" x14ac:dyDescent="0.2">
      <c r="B271" s="29"/>
      <c r="C271" s="29"/>
      <c r="D271" s="40"/>
      <c r="E271" s="40"/>
      <c r="F271" s="188"/>
      <c r="G271" s="188"/>
      <c r="H271" s="188"/>
      <c r="I271" s="188"/>
      <c r="J271" s="188"/>
      <c r="K271" s="188"/>
      <c r="L271" s="188"/>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row>
    <row r="272" spans="2:102" ht="23.25" customHeight="1" x14ac:dyDescent="0.2">
      <c r="B272" s="29"/>
      <c r="C272" s="29"/>
      <c r="D272" s="40"/>
      <c r="E272" s="40"/>
      <c r="F272" s="188"/>
      <c r="G272" s="188"/>
      <c r="H272" s="188"/>
      <c r="I272" s="188"/>
      <c r="J272" s="188"/>
      <c r="K272" s="188"/>
      <c r="L272" s="188"/>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row>
    <row r="273" spans="2:102" ht="23.25" customHeight="1" x14ac:dyDescent="0.2">
      <c r="B273" s="29"/>
      <c r="C273" s="29"/>
      <c r="D273" s="40"/>
      <c r="E273" s="40"/>
      <c r="F273" s="188"/>
      <c r="G273" s="188"/>
      <c r="H273" s="188"/>
      <c r="I273" s="188"/>
      <c r="J273" s="188"/>
      <c r="K273" s="188"/>
      <c r="L273" s="188"/>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row>
    <row r="274" spans="2:102" ht="23.25" customHeight="1" x14ac:dyDescent="0.2">
      <c r="B274" s="29"/>
      <c r="C274" s="29"/>
      <c r="D274" s="40"/>
      <c r="E274" s="40"/>
      <c r="F274" s="188"/>
      <c r="G274" s="188"/>
      <c r="H274" s="188"/>
      <c r="I274" s="188"/>
      <c r="J274" s="188"/>
      <c r="K274" s="188"/>
      <c r="L274" s="188"/>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row>
    <row r="275" spans="2:102" ht="23.25" customHeight="1" x14ac:dyDescent="0.2">
      <c r="B275" s="29"/>
      <c r="C275" s="29"/>
      <c r="D275" s="40"/>
      <c r="E275" s="40"/>
      <c r="F275" s="188"/>
      <c r="G275" s="188"/>
      <c r="H275" s="188"/>
      <c r="I275" s="188"/>
      <c r="J275" s="188"/>
      <c r="K275" s="188"/>
      <c r="L275" s="188"/>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row>
    <row r="276" spans="2:102" ht="23.25" customHeight="1" x14ac:dyDescent="0.2">
      <c r="B276" s="29"/>
      <c r="C276" s="29"/>
      <c r="D276" s="40"/>
      <c r="E276" s="40"/>
      <c r="F276" s="188"/>
      <c r="G276" s="188"/>
      <c r="H276" s="188"/>
      <c r="I276" s="188"/>
      <c r="J276" s="188"/>
      <c r="K276" s="188"/>
      <c r="L276" s="188"/>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row>
    <row r="277" spans="2:102" ht="23.25" customHeight="1" x14ac:dyDescent="0.2">
      <c r="B277" s="29"/>
      <c r="C277" s="29"/>
      <c r="D277" s="40"/>
      <c r="E277" s="40"/>
      <c r="F277" s="188"/>
      <c r="G277" s="188"/>
      <c r="H277" s="188"/>
      <c r="I277" s="188"/>
      <c r="J277" s="188"/>
      <c r="K277" s="188"/>
      <c r="L277" s="188"/>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row>
    <row r="278" spans="2:102" ht="23.25" customHeight="1" x14ac:dyDescent="0.2">
      <c r="B278" s="29"/>
      <c r="C278" s="29"/>
      <c r="D278" s="40"/>
      <c r="E278" s="40"/>
      <c r="F278" s="188"/>
      <c r="G278" s="188"/>
      <c r="H278" s="188"/>
      <c r="I278" s="188"/>
      <c r="J278" s="188"/>
      <c r="K278" s="188"/>
      <c r="L278" s="188"/>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row>
    <row r="279" spans="2:102" ht="23.25" customHeight="1" x14ac:dyDescent="0.2">
      <c r="B279" s="29"/>
      <c r="C279" s="29"/>
      <c r="D279" s="40"/>
      <c r="E279" s="40"/>
      <c r="F279" s="188"/>
      <c r="G279" s="188"/>
      <c r="H279" s="188"/>
      <c r="I279" s="188"/>
      <c r="J279" s="188"/>
      <c r="K279" s="188"/>
      <c r="L279" s="188"/>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row>
    <row r="280" spans="2:102" ht="23.25" customHeight="1" x14ac:dyDescent="0.2">
      <c r="B280" s="29"/>
      <c r="C280" s="29"/>
      <c r="D280" s="40"/>
      <c r="E280" s="40"/>
      <c r="F280" s="188"/>
      <c r="G280" s="188"/>
      <c r="H280" s="188"/>
      <c r="I280" s="188"/>
      <c r="J280" s="188"/>
      <c r="K280" s="188"/>
      <c r="L280" s="188"/>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row>
    <row r="281" spans="2:102" ht="23.25" customHeight="1" x14ac:dyDescent="0.2">
      <c r="B281" s="29"/>
      <c r="C281" s="29"/>
      <c r="D281" s="40"/>
      <c r="E281" s="40"/>
      <c r="F281" s="188"/>
      <c r="G281" s="188"/>
      <c r="H281" s="188"/>
      <c r="I281" s="188"/>
      <c r="J281" s="188"/>
      <c r="K281" s="188"/>
      <c r="L281" s="188"/>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row>
    <row r="282" spans="2:102" ht="23.25" customHeight="1" x14ac:dyDescent="0.2">
      <c r="B282" s="29"/>
      <c r="C282" s="29"/>
      <c r="D282" s="40"/>
      <c r="E282" s="40"/>
      <c r="F282" s="188"/>
      <c r="G282" s="188"/>
      <c r="H282" s="188"/>
      <c r="I282" s="188"/>
      <c r="J282" s="188"/>
      <c r="K282" s="188"/>
      <c r="L282" s="188"/>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row>
    <row r="283" spans="2:102" ht="23.25" customHeight="1" x14ac:dyDescent="0.2">
      <c r="B283" s="29"/>
      <c r="C283" s="29"/>
      <c r="D283" s="40"/>
      <c r="E283" s="40"/>
      <c r="F283" s="188"/>
      <c r="G283" s="188"/>
      <c r="H283" s="188"/>
      <c r="I283" s="188"/>
      <c r="J283" s="188"/>
      <c r="K283" s="188"/>
      <c r="L283" s="188"/>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row>
    <row r="284" spans="2:102" ht="23.25" customHeight="1" x14ac:dyDescent="0.2">
      <c r="B284" s="29"/>
      <c r="C284" s="29"/>
      <c r="D284" s="40"/>
      <c r="E284" s="40"/>
      <c r="F284" s="188"/>
      <c r="G284" s="188"/>
      <c r="H284" s="188"/>
      <c r="I284" s="188"/>
      <c r="J284" s="188"/>
      <c r="K284" s="188"/>
      <c r="L284" s="188"/>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row>
    <row r="285" spans="2:102" ht="23.25" customHeight="1" x14ac:dyDescent="0.2">
      <c r="B285" s="29"/>
      <c r="C285" s="29"/>
      <c r="D285" s="40"/>
      <c r="E285" s="40"/>
      <c r="F285" s="188"/>
      <c r="G285" s="188"/>
      <c r="H285" s="188"/>
      <c r="I285" s="188"/>
      <c r="J285" s="188"/>
      <c r="K285" s="188"/>
      <c r="L285" s="188"/>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row>
    <row r="286" spans="2:102" ht="23.25" customHeight="1" x14ac:dyDescent="0.2">
      <c r="B286" s="29"/>
      <c r="C286" s="29"/>
      <c r="D286" s="40"/>
      <c r="E286" s="40"/>
      <c r="F286" s="188"/>
      <c r="G286" s="188"/>
      <c r="H286" s="188"/>
      <c r="I286" s="188"/>
      <c r="J286" s="188"/>
      <c r="K286" s="188"/>
      <c r="L286" s="188"/>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row>
    <row r="287" spans="2:102" ht="23.25" customHeight="1" x14ac:dyDescent="0.2">
      <c r="B287" s="29"/>
      <c r="C287" s="29"/>
      <c r="D287" s="40"/>
      <c r="E287" s="40"/>
      <c r="F287" s="188"/>
      <c r="G287" s="188"/>
      <c r="H287" s="188"/>
      <c r="I287" s="188"/>
      <c r="J287" s="188"/>
      <c r="K287" s="188"/>
      <c r="L287" s="188"/>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row>
    <row r="288" spans="2:102" ht="23.25" customHeight="1" x14ac:dyDescent="0.2">
      <c r="B288" s="29"/>
      <c r="C288" s="29"/>
      <c r="D288" s="40"/>
      <c r="E288" s="40"/>
      <c r="F288" s="188"/>
      <c r="G288" s="188"/>
      <c r="H288" s="188"/>
      <c r="I288" s="188"/>
      <c r="J288" s="188"/>
      <c r="K288" s="188"/>
      <c r="L288" s="188"/>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row>
    <row r="289" spans="2:102" ht="23.25" customHeight="1" x14ac:dyDescent="0.2">
      <c r="B289" s="29"/>
      <c r="C289" s="29"/>
      <c r="D289" s="40"/>
      <c r="E289" s="40"/>
      <c r="F289" s="188"/>
      <c r="G289" s="188"/>
      <c r="H289" s="188"/>
      <c r="I289" s="188"/>
      <c r="J289" s="188"/>
      <c r="K289" s="188"/>
      <c r="L289" s="188"/>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row>
    <row r="290" spans="2:102" ht="23.25" customHeight="1" x14ac:dyDescent="0.2">
      <c r="B290" s="29"/>
      <c r="C290" s="29"/>
      <c r="D290" s="40"/>
      <c r="E290" s="40"/>
      <c r="F290" s="188"/>
      <c r="G290" s="188"/>
      <c r="H290" s="188"/>
      <c r="I290" s="188"/>
      <c r="J290" s="188"/>
      <c r="K290" s="188"/>
      <c r="L290" s="188"/>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row>
    <row r="291" spans="2:102" ht="23.25" customHeight="1" x14ac:dyDescent="0.2">
      <c r="B291" s="29"/>
      <c r="C291" s="29"/>
      <c r="D291" s="40"/>
      <c r="E291" s="40"/>
      <c r="F291" s="188"/>
      <c r="G291" s="188"/>
      <c r="H291" s="188"/>
      <c r="I291" s="188"/>
      <c r="J291" s="188"/>
      <c r="K291" s="188"/>
      <c r="L291" s="188"/>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row>
    <row r="292" spans="2:102" ht="23.25" customHeight="1" x14ac:dyDescent="0.2">
      <c r="B292" s="29"/>
      <c r="C292" s="29"/>
      <c r="D292" s="40"/>
      <c r="E292" s="40"/>
      <c r="F292" s="188"/>
      <c r="G292" s="188"/>
      <c r="H292" s="188"/>
      <c r="I292" s="188"/>
      <c r="J292" s="188"/>
      <c r="K292" s="188"/>
      <c r="L292" s="188"/>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row>
    <row r="293" spans="2:102" ht="23.25" customHeight="1" x14ac:dyDescent="0.2">
      <c r="B293" s="29"/>
      <c r="C293" s="29"/>
      <c r="D293" s="40"/>
      <c r="E293" s="40"/>
      <c r="F293" s="188"/>
      <c r="G293" s="188"/>
      <c r="H293" s="188"/>
      <c r="I293" s="188"/>
      <c r="J293" s="188"/>
      <c r="K293" s="188"/>
      <c r="L293" s="188"/>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row>
    <row r="294" spans="2:102" ht="23.25" customHeight="1" x14ac:dyDescent="0.2">
      <c r="B294" s="29"/>
      <c r="C294" s="29"/>
      <c r="D294" s="40"/>
      <c r="E294" s="40"/>
      <c r="F294" s="188"/>
      <c r="G294" s="188"/>
      <c r="H294" s="188"/>
      <c r="I294" s="188"/>
      <c r="J294" s="188"/>
      <c r="K294" s="188"/>
      <c r="L294" s="188"/>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row>
    <row r="295" spans="2:102" ht="23.25" customHeight="1" x14ac:dyDescent="0.2">
      <c r="B295" s="29"/>
      <c r="C295" s="29"/>
      <c r="D295" s="40"/>
      <c r="E295" s="40"/>
      <c r="F295" s="188"/>
      <c r="G295" s="188"/>
      <c r="H295" s="188"/>
      <c r="I295" s="188"/>
      <c r="J295" s="188"/>
      <c r="K295" s="188"/>
      <c r="L295" s="188"/>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row>
    <row r="296" spans="2:102" ht="23.25" customHeight="1" x14ac:dyDescent="0.2">
      <c r="B296" s="29"/>
      <c r="C296" s="29"/>
      <c r="D296" s="40"/>
      <c r="E296" s="40"/>
      <c r="F296" s="188"/>
      <c r="G296" s="188"/>
      <c r="H296" s="188"/>
      <c r="I296" s="188"/>
      <c r="J296" s="188"/>
      <c r="K296" s="188"/>
      <c r="L296" s="188"/>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row>
    <row r="297" spans="2:102" ht="23.25" customHeight="1" x14ac:dyDescent="0.2">
      <c r="B297" s="29"/>
      <c r="C297" s="29"/>
      <c r="D297" s="40"/>
      <c r="E297" s="40"/>
      <c r="F297" s="188"/>
      <c r="G297" s="188"/>
      <c r="H297" s="188"/>
      <c r="I297" s="188"/>
      <c r="J297" s="188"/>
      <c r="K297" s="188"/>
      <c r="L297" s="188"/>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row>
    <row r="298" spans="2:102" ht="23.25" customHeight="1" x14ac:dyDescent="0.2">
      <c r="B298" s="29"/>
      <c r="C298" s="29"/>
      <c r="D298" s="40"/>
      <c r="E298" s="40"/>
      <c r="F298" s="188"/>
      <c r="G298" s="188"/>
      <c r="H298" s="188"/>
      <c r="I298" s="188"/>
      <c r="J298" s="188"/>
      <c r="K298" s="188"/>
      <c r="L298" s="188"/>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row>
    <row r="299" spans="2:102" ht="23.25" customHeight="1" x14ac:dyDescent="0.2">
      <c r="B299" s="29"/>
      <c r="C299" s="29"/>
      <c r="D299" s="40"/>
      <c r="E299" s="40"/>
      <c r="F299" s="188"/>
      <c r="G299" s="188"/>
      <c r="H299" s="188"/>
      <c r="I299" s="188"/>
      <c r="J299" s="188"/>
      <c r="K299" s="188"/>
      <c r="L299" s="188"/>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row>
    <row r="300" spans="2:102" ht="23.25" customHeight="1" x14ac:dyDescent="0.2">
      <c r="B300" s="29"/>
      <c r="C300" s="29"/>
      <c r="D300" s="40"/>
      <c r="E300" s="40"/>
      <c r="F300" s="188"/>
      <c r="G300" s="188"/>
      <c r="H300" s="188"/>
      <c r="I300" s="188"/>
      <c r="J300" s="188"/>
      <c r="K300" s="188"/>
      <c r="L300" s="188"/>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row>
    <row r="301" spans="2:102" ht="23.25" customHeight="1" x14ac:dyDescent="0.2">
      <c r="B301" s="29"/>
      <c r="C301" s="29"/>
      <c r="D301" s="40"/>
      <c r="E301" s="40"/>
      <c r="F301" s="188"/>
      <c r="G301" s="188"/>
      <c r="H301" s="188"/>
      <c r="I301" s="188"/>
      <c r="J301" s="188"/>
      <c r="K301" s="188"/>
      <c r="L301" s="188"/>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row>
    <row r="302" spans="2:102" ht="23.25" customHeight="1" x14ac:dyDescent="0.2">
      <c r="B302" s="29"/>
      <c r="C302" s="29"/>
      <c r="D302" s="40"/>
      <c r="E302" s="40"/>
      <c r="F302" s="188"/>
      <c r="G302" s="188"/>
      <c r="H302" s="188"/>
      <c r="I302" s="188"/>
      <c r="J302" s="188"/>
      <c r="K302" s="188"/>
      <c r="L302" s="188"/>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row>
    <row r="303" spans="2:102" ht="23.25" customHeight="1" x14ac:dyDescent="0.2">
      <c r="B303" s="29"/>
      <c r="C303" s="29"/>
      <c r="D303" s="40"/>
      <c r="E303" s="40"/>
      <c r="F303" s="188"/>
      <c r="G303" s="188"/>
      <c r="H303" s="188"/>
      <c r="I303" s="188"/>
      <c r="J303" s="188"/>
      <c r="K303" s="188"/>
      <c r="L303" s="188"/>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row>
    <row r="304" spans="2:102" ht="23.25" customHeight="1" x14ac:dyDescent="0.2">
      <c r="B304" s="29"/>
      <c r="C304" s="29"/>
      <c r="D304" s="40"/>
      <c r="E304" s="40"/>
      <c r="F304" s="188"/>
      <c r="G304" s="188"/>
      <c r="H304" s="188"/>
      <c r="I304" s="188"/>
      <c r="J304" s="188"/>
      <c r="K304" s="188"/>
      <c r="L304" s="188"/>
      <c r="M304" s="66"/>
      <c r="N304" s="66"/>
      <c r="O304" s="66"/>
      <c r="P304" s="66"/>
      <c r="Q304" s="66"/>
      <c r="R304" s="66"/>
      <c r="S304" s="66"/>
      <c r="T304" s="66"/>
      <c r="U304" s="66"/>
      <c r="V304" s="66"/>
      <c r="W304" s="66"/>
      <c r="X304" s="66"/>
      <c r="Y304" s="66"/>
      <c r="Z304" s="66"/>
      <c r="AA304" s="66"/>
      <c r="AB304" s="66"/>
      <c r="AC304" s="66"/>
      <c r="AD304" s="66"/>
      <c r="AE304" s="66"/>
      <c r="AF304" s="66"/>
      <c r="AG304" s="66"/>
      <c r="AH304" s="66"/>
      <c r="AI304" s="66"/>
      <c r="AJ304" s="66"/>
      <c r="AK304" s="66"/>
      <c r="AL304" s="66"/>
      <c r="AM304" s="66"/>
      <c r="AN304" s="66"/>
      <c r="AO304" s="66"/>
      <c r="AP304" s="66"/>
      <c r="AQ304" s="66"/>
      <c r="AR304" s="66"/>
      <c r="AS304" s="66"/>
      <c r="AT304" s="66"/>
      <c r="AU304" s="66"/>
      <c r="AV304" s="66"/>
      <c r="AW304" s="66"/>
      <c r="AX304" s="66"/>
      <c r="AY304" s="66"/>
      <c r="AZ304" s="66"/>
      <c r="BA304" s="66"/>
      <c r="BB304" s="66"/>
      <c r="BC304" s="66"/>
      <c r="BD304" s="66"/>
      <c r="BE304" s="66"/>
      <c r="BF304" s="66"/>
      <c r="BG304" s="66"/>
      <c r="BH304" s="66"/>
      <c r="BI304" s="66"/>
      <c r="BJ304" s="66"/>
      <c r="BK304" s="66"/>
      <c r="BL304" s="66"/>
      <c r="BM304" s="66"/>
      <c r="BN304" s="66"/>
      <c r="BO304" s="66"/>
      <c r="BP304" s="66"/>
      <c r="BQ304" s="66"/>
      <c r="BR304" s="66"/>
      <c r="BS304" s="66"/>
      <c r="BT304" s="66"/>
      <c r="BU304" s="66"/>
      <c r="BV304" s="66"/>
      <c r="BW304" s="66"/>
      <c r="BX304" s="66"/>
      <c r="BY304" s="66"/>
      <c r="BZ304" s="66"/>
      <c r="CA304" s="66"/>
      <c r="CB304" s="66"/>
      <c r="CC304" s="66"/>
      <c r="CD304" s="66"/>
      <c r="CE304" s="66"/>
      <c r="CF304" s="66"/>
      <c r="CG304" s="66"/>
      <c r="CH304" s="66"/>
      <c r="CI304" s="66"/>
      <c r="CJ304" s="66"/>
      <c r="CK304" s="66"/>
      <c r="CL304" s="66"/>
      <c r="CM304" s="66"/>
      <c r="CN304" s="66"/>
      <c r="CO304" s="66"/>
      <c r="CP304" s="66"/>
      <c r="CQ304" s="66"/>
      <c r="CR304" s="66"/>
      <c r="CS304" s="66"/>
      <c r="CT304" s="66"/>
      <c r="CU304" s="66"/>
      <c r="CV304" s="66"/>
      <c r="CW304" s="66"/>
      <c r="CX304" s="66"/>
    </row>
    <row r="305" spans="2:102" ht="23.25" customHeight="1" x14ac:dyDescent="0.2">
      <c r="B305" s="29"/>
      <c r="C305" s="29"/>
      <c r="D305" s="40"/>
      <c r="E305" s="40"/>
      <c r="F305" s="188"/>
      <c r="G305" s="188"/>
      <c r="H305" s="188"/>
      <c r="I305" s="188"/>
      <c r="J305" s="188"/>
      <c r="K305" s="188"/>
      <c r="L305" s="188"/>
      <c r="M305" s="66"/>
      <c r="N305" s="66"/>
      <c r="O305" s="66"/>
      <c r="P305" s="66"/>
      <c r="Q305" s="66"/>
      <c r="R305" s="66"/>
      <c r="S305" s="66"/>
      <c r="T305" s="66"/>
      <c r="U305" s="66"/>
      <c r="V305" s="66"/>
      <c r="W305" s="66"/>
      <c r="X305" s="66"/>
      <c r="Y305" s="66"/>
      <c r="Z305" s="66"/>
      <c r="AA305" s="66"/>
      <c r="AB305" s="66"/>
      <c r="AC305" s="66"/>
      <c r="AD305" s="66"/>
      <c r="AE305" s="66"/>
      <c r="AF305" s="66"/>
      <c r="AG305" s="66"/>
      <c r="AH305" s="66"/>
      <c r="AI305" s="66"/>
      <c r="AJ305" s="66"/>
      <c r="AK305" s="66"/>
      <c r="AL305" s="66"/>
      <c r="AM305" s="66"/>
      <c r="AN305" s="66"/>
      <c r="AO305" s="66"/>
      <c r="AP305" s="66"/>
      <c r="AQ305" s="66"/>
      <c r="AR305" s="66"/>
      <c r="AS305" s="66"/>
      <c r="AT305" s="66"/>
      <c r="AU305" s="66"/>
      <c r="AV305" s="66"/>
      <c r="AW305" s="66"/>
      <c r="AX305" s="66"/>
      <c r="AY305" s="66"/>
      <c r="AZ305" s="66"/>
      <c r="BA305" s="66"/>
      <c r="BB305" s="66"/>
      <c r="BC305" s="66"/>
      <c r="BD305" s="66"/>
      <c r="BE305" s="66"/>
      <c r="BF305" s="66"/>
      <c r="BG305" s="66"/>
      <c r="BH305" s="66"/>
      <c r="BI305" s="66"/>
      <c r="BJ305" s="66"/>
      <c r="BK305" s="66"/>
      <c r="BL305" s="66"/>
      <c r="BM305" s="66"/>
      <c r="BN305" s="66"/>
      <c r="BO305" s="66"/>
      <c r="BP305" s="66"/>
      <c r="BQ305" s="66"/>
      <c r="BR305" s="66"/>
      <c r="BS305" s="66"/>
      <c r="BT305" s="66"/>
      <c r="BU305" s="66"/>
      <c r="BV305" s="66"/>
      <c r="BW305" s="66"/>
      <c r="BX305" s="66"/>
      <c r="BY305" s="66"/>
      <c r="BZ305" s="66"/>
      <c r="CA305" s="66"/>
      <c r="CB305" s="66"/>
      <c r="CC305" s="66"/>
      <c r="CD305" s="66"/>
      <c r="CE305" s="66"/>
      <c r="CF305" s="66"/>
      <c r="CG305" s="66"/>
      <c r="CH305" s="66"/>
      <c r="CI305" s="66"/>
      <c r="CJ305" s="66"/>
      <c r="CK305" s="66"/>
      <c r="CL305" s="66"/>
      <c r="CM305" s="66"/>
      <c r="CN305" s="66"/>
      <c r="CO305" s="66"/>
      <c r="CP305" s="66"/>
      <c r="CQ305" s="66"/>
      <c r="CR305" s="66"/>
      <c r="CS305" s="66"/>
      <c r="CT305" s="66"/>
      <c r="CU305" s="66"/>
      <c r="CV305" s="66"/>
      <c r="CW305" s="66"/>
      <c r="CX305" s="66"/>
    </row>
    <row r="306" spans="2:102" ht="23.25" customHeight="1" x14ac:dyDescent="0.2">
      <c r="B306" s="29"/>
      <c r="C306" s="29"/>
      <c r="D306" s="40"/>
      <c r="E306" s="40"/>
      <c r="F306" s="188"/>
      <c r="G306" s="188"/>
      <c r="H306" s="188"/>
      <c r="I306" s="188"/>
      <c r="J306" s="188"/>
      <c r="K306" s="188"/>
      <c r="L306" s="188"/>
      <c r="M306" s="66"/>
      <c r="N306" s="66"/>
      <c r="O306" s="66"/>
      <c r="P306" s="66"/>
      <c r="Q306" s="66"/>
      <c r="R306" s="66"/>
      <c r="S306" s="66"/>
      <c r="T306" s="66"/>
      <c r="U306" s="66"/>
      <c r="V306" s="66"/>
      <c r="W306" s="66"/>
      <c r="X306" s="66"/>
      <c r="Y306" s="66"/>
      <c r="Z306" s="66"/>
      <c r="AA306" s="66"/>
      <c r="AB306" s="66"/>
      <c r="AC306" s="66"/>
      <c r="AD306" s="66"/>
      <c r="AE306" s="66"/>
      <c r="AF306" s="66"/>
      <c r="AG306" s="66"/>
      <c r="AH306" s="66"/>
      <c r="AI306" s="66"/>
      <c r="AJ306" s="66"/>
      <c r="AK306" s="66"/>
      <c r="AL306" s="66"/>
      <c r="AM306" s="66"/>
      <c r="AN306" s="66"/>
      <c r="AO306" s="66"/>
      <c r="AP306" s="66"/>
      <c r="AQ306" s="66"/>
      <c r="AR306" s="66"/>
      <c r="AS306" s="66"/>
      <c r="AT306" s="66"/>
      <c r="AU306" s="66"/>
      <c r="AV306" s="66"/>
      <c r="AW306" s="66"/>
      <c r="AX306" s="66"/>
      <c r="AY306" s="66"/>
      <c r="AZ306" s="66"/>
      <c r="BA306" s="66"/>
      <c r="BB306" s="66"/>
      <c r="BC306" s="66"/>
      <c r="BD306" s="66"/>
      <c r="BE306" s="66"/>
      <c r="BF306" s="66"/>
      <c r="BG306" s="66"/>
      <c r="BH306" s="66"/>
      <c r="BI306" s="66"/>
      <c r="BJ306" s="66"/>
      <c r="BK306" s="66"/>
      <c r="BL306" s="66"/>
      <c r="BM306" s="66"/>
      <c r="BN306" s="66"/>
      <c r="BO306" s="66"/>
      <c r="BP306" s="66"/>
      <c r="BQ306" s="66"/>
      <c r="BR306" s="66"/>
      <c r="BS306" s="66"/>
      <c r="BT306" s="66"/>
      <c r="BU306" s="66"/>
      <c r="BV306" s="66"/>
      <c r="BW306" s="66"/>
      <c r="BX306" s="66"/>
      <c r="BY306" s="66"/>
      <c r="BZ306" s="66"/>
      <c r="CA306" s="66"/>
      <c r="CB306" s="66"/>
      <c r="CC306" s="66"/>
      <c r="CD306" s="66"/>
      <c r="CE306" s="66"/>
      <c r="CF306" s="66"/>
      <c r="CG306" s="66"/>
      <c r="CH306" s="66"/>
      <c r="CI306" s="66"/>
      <c r="CJ306" s="66"/>
      <c r="CK306" s="66"/>
      <c r="CL306" s="66"/>
      <c r="CM306" s="66"/>
      <c r="CN306" s="66"/>
      <c r="CO306" s="66"/>
      <c r="CP306" s="66"/>
      <c r="CQ306" s="66"/>
      <c r="CR306" s="66"/>
      <c r="CS306" s="66"/>
      <c r="CT306" s="66"/>
      <c r="CU306" s="66"/>
      <c r="CV306" s="66"/>
      <c r="CW306" s="66"/>
      <c r="CX306" s="66"/>
    </row>
    <row r="307" spans="2:102" ht="23.25" customHeight="1" x14ac:dyDescent="0.2">
      <c r="B307" s="29"/>
      <c r="C307" s="29"/>
      <c r="D307" s="40"/>
      <c r="E307" s="40"/>
      <c r="F307" s="188"/>
      <c r="G307" s="188"/>
      <c r="H307" s="188"/>
      <c r="I307" s="188"/>
      <c r="J307" s="188"/>
      <c r="K307" s="188"/>
      <c r="L307" s="188"/>
      <c r="M307" s="66"/>
      <c r="N307" s="66"/>
      <c r="O307" s="66"/>
      <c r="P307" s="66"/>
      <c r="Q307" s="66"/>
      <c r="R307" s="66"/>
      <c r="S307" s="66"/>
      <c r="T307" s="66"/>
      <c r="U307" s="66"/>
      <c r="V307" s="66"/>
      <c r="W307" s="66"/>
      <c r="X307" s="66"/>
      <c r="Y307" s="66"/>
      <c r="Z307" s="66"/>
      <c r="AA307" s="66"/>
      <c r="AB307" s="66"/>
      <c r="AC307" s="66"/>
      <c r="AD307" s="66"/>
      <c r="AE307" s="66"/>
      <c r="AF307" s="66"/>
      <c r="AG307" s="66"/>
      <c r="AH307" s="66"/>
      <c r="AI307" s="66"/>
      <c r="AJ307" s="66"/>
      <c r="AK307" s="66"/>
      <c r="AL307" s="66"/>
      <c r="AM307" s="66"/>
      <c r="AN307" s="66"/>
      <c r="AO307" s="66"/>
      <c r="AP307" s="66"/>
      <c r="AQ307" s="66"/>
      <c r="AR307" s="66"/>
      <c r="AS307" s="66"/>
      <c r="AT307" s="66"/>
      <c r="AU307" s="66"/>
      <c r="AV307" s="66"/>
      <c r="AW307" s="66"/>
      <c r="AX307" s="66"/>
      <c r="AY307" s="66"/>
      <c r="AZ307" s="66"/>
      <c r="BA307" s="66"/>
      <c r="BB307" s="66"/>
      <c r="BC307" s="66"/>
      <c r="BD307" s="66"/>
      <c r="BE307" s="66"/>
      <c r="BF307" s="66"/>
      <c r="BG307" s="66"/>
      <c r="BH307" s="66"/>
      <c r="BI307" s="66"/>
      <c r="BJ307" s="66"/>
      <c r="BK307" s="66"/>
      <c r="BL307" s="66"/>
      <c r="BM307" s="66"/>
      <c r="BN307" s="66"/>
      <c r="BO307" s="66"/>
      <c r="BP307" s="66"/>
      <c r="BQ307" s="66"/>
      <c r="BR307" s="66"/>
      <c r="BS307" s="66"/>
      <c r="BT307" s="66"/>
      <c r="BU307" s="66"/>
      <c r="BV307" s="66"/>
      <c r="BW307" s="66"/>
      <c r="BX307" s="66"/>
      <c r="BY307" s="66"/>
      <c r="BZ307" s="66"/>
      <c r="CA307" s="66"/>
      <c r="CB307" s="66"/>
      <c r="CC307" s="66"/>
      <c r="CD307" s="66"/>
      <c r="CE307" s="66"/>
      <c r="CF307" s="66"/>
      <c r="CG307" s="66"/>
      <c r="CH307" s="66"/>
      <c r="CI307" s="66"/>
      <c r="CJ307" s="66"/>
      <c r="CK307" s="66"/>
      <c r="CL307" s="66"/>
      <c r="CM307" s="66"/>
      <c r="CN307" s="66"/>
      <c r="CO307" s="66"/>
      <c r="CP307" s="66"/>
      <c r="CQ307" s="66"/>
      <c r="CR307" s="66"/>
      <c r="CS307" s="66"/>
      <c r="CT307" s="66"/>
      <c r="CU307" s="66"/>
      <c r="CV307" s="66"/>
      <c r="CW307" s="66"/>
      <c r="CX307" s="66"/>
    </row>
    <row r="308" spans="2:102" ht="23.25" customHeight="1" x14ac:dyDescent="0.2">
      <c r="B308" s="29"/>
      <c r="C308" s="29"/>
      <c r="D308" s="40"/>
      <c r="E308" s="40"/>
      <c r="F308" s="188"/>
      <c r="G308" s="188"/>
      <c r="H308" s="188"/>
      <c r="I308" s="188"/>
      <c r="J308" s="188"/>
      <c r="K308" s="188"/>
      <c r="L308" s="188"/>
      <c r="M308" s="66"/>
      <c r="N308" s="66"/>
      <c r="O308" s="66"/>
      <c r="P308" s="66"/>
      <c r="Q308" s="66"/>
      <c r="R308" s="66"/>
      <c r="S308" s="66"/>
      <c r="T308" s="66"/>
      <c r="U308" s="66"/>
      <c r="V308" s="66"/>
      <c r="W308" s="66"/>
      <c r="X308" s="66"/>
      <c r="Y308" s="66"/>
      <c r="Z308" s="66"/>
      <c r="AA308" s="66"/>
      <c r="AB308" s="66"/>
      <c r="AC308" s="66"/>
      <c r="AD308" s="66"/>
      <c r="AE308" s="66"/>
      <c r="AF308" s="66"/>
      <c r="AG308" s="66"/>
      <c r="AH308" s="66"/>
      <c r="AI308" s="66"/>
      <c r="AJ308" s="66"/>
      <c r="AK308" s="66"/>
      <c r="AL308" s="66"/>
      <c r="AM308" s="66"/>
      <c r="AN308" s="66"/>
      <c r="AO308" s="66"/>
      <c r="AP308" s="66"/>
      <c r="AQ308" s="66"/>
      <c r="AR308" s="66"/>
      <c r="AS308" s="66"/>
      <c r="AT308" s="66"/>
      <c r="AU308" s="66"/>
      <c r="AV308" s="66"/>
      <c r="AW308" s="66"/>
      <c r="AX308" s="66"/>
      <c r="AY308" s="66"/>
      <c r="AZ308" s="66"/>
      <c r="BA308" s="66"/>
      <c r="BB308" s="66"/>
      <c r="BC308" s="66"/>
      <c r="BD308" s="66"/>
      <c r="BE308" s="66"/>
      <c r="BF308" s="66"/>
      <c r="BG308" s="66"/>
      <c r="BH308" s="66"/>
      <c r="BI308" s="66"/>
      <c r="BJ308" s="66"/>
      <c r="BK308" s="66"/>
      <c r="BL308" s="66"/>
      <c r="BM308" s="66"/>
      <c r="BN308" s="66"/>
      <c r="BO308" s="66"/>
      <c r="BP308" s="66"/>
      <c r="BQ308" s="66"/>
      <c r="BR308" s="66"/>
      <c r="BS308" s="66"/>
      <c r="BT308" s="66"/>
      <c r="BU308" s="66"/>
      <c r="BV308" s="66"/>
      <c r="BW308" s="66"/>
      <c r="BX308" s="66"/>
      <c r="BY308" s="66"/>
      <c r="BZ308" s="66"/>
      <c r="CA308" s="66"/>
      <c r="CB308" s="66"/>
      <c r="CC308" s="66"/>
      <c r="CD308" s="66"/>
      <c r="CE308" s="66"/>
      <c r="CF308" s="66"/>
      <c r="CG308" s="66"/>
      <c r="CH308" s="66"/>
      <c r="CI308" s="66"/>
      <c r="CJ308" s="66"/>
      <c r="CK308" s="66"/>
      <c r="CL308" s="66"/>
      <c r="CM308" s="66"/>
      <c r="CN308" s="66"/>
      <c r="CO308" s="66"/>
      <c r="CP308" s="66"/>
      <c r="CQ308" s="66"/>
      <c r="CR308" s="66"/>
      <c r="CS308" s="66"/>
      <c r="CT308" s="66"/>
      <c r="CU308" s="66"/>
      <c r="CV308" s="66"/>
      <c r="CW308" s="66"/>
      <c r="CX308" s="66"/>
    </row>
    <row r="309" spans="2:102" ht="23.25" customHeight="1" x14ac:dyDescent="0.2">
      <c r="B309" s="29"/>
      <c r="C309" s="29"/>
      <c r="D309" s="40"/>
      <c r="E309" s="40"/>
      <c r="F309" s="188"/>
      <c r="G309" s="188"/>
      <c r="H309" s="188"/>
      <c r="I309" s="188"/>
      <c r="J309" s="188"/>
      <c r="K309" s="188"/>
      <c r="L309" s="188"/>
      <c r="M309" s="66"/>
      <c r="N309" s="66"/>
      <c r="O309" s="66"/>
      <c r="P309" s="66"/>
      <c r="Q309" s="66"/>
      <c r="R309" s="66"/>
      <c r="S309" s="66"/>
      <c r="T309" s="66"/>
      <c r="U309" s="66"/>
      <c r="V309" s="66"/>
      <c r="W309" s="66"/>
      <c r="X309" s="66"/>
      <c r="Y309" s="66"/>
      <c r="Z309" s="66"/>
      <c r="AA309" s="66"/>
      <c r="AB309" s="66"/>
      <c r="AC309" s="66"/>
      <c r="AD309" s="66"/>
      <c r="AE309" s="66"/>
      <c r="AF309" s="66"/>
      <c r="AG309" s="66"/>
      <c r="AH309" s="66"/>
      <c r="AI309" s="66"/>
      <c r="AJ309" s="66"/>
      <c r="AK309" s="66"/>
      <c r="AL309" s="66"/>
      <c r="AM309" s="66"/>
      <c r="AN309" s="66"/>
      <c r="AO309" s="66"/>
      <c r="AP309" s="66"/>
      <c r="AQ309" s="66"/>
      <c r="AR309" s="66"/>
      <c r="AS309" s="66"/>
      <c r="AT309" s="66"/>
      <c r="AU309" s="66"/>
      <c r="AV309" s="66"/>
      <c r="AW309" s="66"/>
      <c r="AX309" s="66"/>
      <c r="AY309" s="66"/>
      <c r="AZ309" s="66"/>
      <c r="BA309" s="66"/>
      <c r="BB309" s="66"/>
      <c r="BC309" s="66"/>
      <c r="BD309" s="66"/>
      <c r="BE309" s="66"/>
      <c r="BF309" s="66"/>
      <c r="BG309" s="66"/>
      <c r="BH309" s="66"/>
      <c r="BI309" s="66"/>
      <c r="BJ309" s="66"/>
      <c r="BK309" s="66"/>
      <c r="BL309" s="66"/>
      <c r="BM309" s="66"/>
      <c r="BN309" s="66"/>
      <c r="BO309" s="66"/>
      <c r="BP309" s="66"/>
      <c r="BQ309" s="66"/>
      <c r="BR309" s="66"/>
      <c r="BS309" s="66"/>
      <c r="BT309" s="66"/>
      <c r="BU309" s="66"/>
      <c r="BV309" s="66"/>
      <c r="BW309" s="66"/>
      <c r="BX309" s="66"/>
      <c r="BY309" s="66"/>
      <c r="BZ309" s="66"/>
      <c r="CA309" s="66"/>
      <c r="CB309" s="66"/>
      <c r="CC309" s="66"/>
      <c r="CD309" s="66"/>
      <c r="CE309" s="66"/>
      <c r="CF309" s="66"/>
      <c r="CG309" s="66"/>
      <c r="CH309" s="66"/>
      <c r="CI309" s="66"/>
      <c r="CJ309" s="66"/>
      <c r="CK309" s="66"/>
      <c r="CL309" s="66"/>
      <c r="CM309" s="66"/>
      <c r="CN309" s="66"/>
      <c r="CO309" s="66"/>
      <c r="CP309" s="66"/>
      <c r="CQ309" s="66"/>
      <c r="CR309" s="66"/>
      <c r="CS309" s="66"/>
      <c r="CT309" s="66"/>
      <c r="CU309" s="66"/>
      <c r="CV309" s="66"/>
      <c r="CW309" s="66"/>
      <c r="CX309" s="66"/>
    </row>
    <row r="310" spans="2:102" ht="23.25" customHeight="1" x14ac:dyDescent="0.2">
      <c r="B310" s="29"/>
      <c r="C310" s="29"/>
      <c r="D310" s="40"/>
      <c r="E310" s="40"/>
      <c r="F310" s="188"/>
      <c r="G310" s="188"/>
      <c r="H310" s="188"/>
      <c r="I310" s="188"/>
      <c r="J310" s="188"/>
      <c r="K310" s="188"/>
      <c r="L310" s="188"/>
      <c r="M310" s="66"/>
      <c r="N310" s="66"/>
      <c r="O310" s="66"/>
      <c r="P310" s="66"/>
      <c r="Q310" s="66"/>
      <c r="R310" s="66"/>
      <c r="S310" s="66"/>
      <c r="T310" s="66"/>
      <c r="U310" s="66"/>
      <c r="V310" s="66"/>
      <c r="W310" s="66"/>
      <c r="X310" s="66"/>
      <c r="Y310" s="66"/>
      <c r="Z310" s="66"/>
      <c r="AA310" s="66"/>
      <c r="AB310" s="66"/>
      <c r="AC310" s="66"/>
      <c r="AD310" s="66"/>
      <c r="AE310" s="66"/>
      <c r="AF310" s="66"/>
      <c r="AG310" s="66"/>
      <c r="AH310" s="66"/>
      <c r="AI310" s="66"/>
      <c r="AJ310" s="66"/>
      <c r="AK310" s="66"/>
      <c r="AL310" s="66"/>
      <c r="AM310" s="66"/>
      <c r="AN310" s="66"/>
      <c r="AO310" s="66"/>
      <c r="AP310" s="66"/>
      <c r="AQ310" s="66"/>
      <c r="AR310" s="66"/>
      <c r="AS310" s="66"/>
      <c r="AT310" s="66"/>
      <c r="AU310" s="66"/>
      <c r="AV310" s="66"/>
      <c r="AW310" s="66"/>
      <c r="AX310" s="66"/>
      <c r="AY310" s="66"/>
      <c r="AZ310" s="66"/>
      <c r="BA310" s="66"/>
      <c r="BB310" s="66"/>
      <c r="BC310" s="66"/>
      <c r="BD310" s="66"/>
      <c r="BE310" s="66"/>
      <c r="BF310" s="66"/>
      <c r="BG310" s="66"/>
      <c r="BH310" s="66"/>
      <c r="BI310" s="66"/>
      <c r="BJ310" s="66"/>
      <c r="BK310" s="66"/>
      <c r="BL310" s="66"/>
      <c r="BM310" s="66"/>
      <c r="BN310" s="66"/>
      <c r="BO310" s="66"/>
      <c r="BP310" s="66"/>
      <c r="BQ310" s="66"/>
      <c r="BR310" s="66"/>
      <c r="BS310" s="66"/>
      <c r="BT310" s="66"/>
      <c r="BU310" s="66"/>
      <c r="BV310" s="66"/>
      <c r="BW310" s="66"/>
      <c r="BX310" s="66"/>
      <c r="BY310" s="66"/>
      <c r="BZ310" s="66"/>
      <c r="CA310" s="66"/>
      <c r="CB310" s="66"/>
      <c r="CC310" s="66"/>
      <c r="CD310" s="66"/>
      <c r="CE310" s="66"/>
      <c r="CF310" s="66"/>
      <c r="CG310" s="66"/>
      <c r="CH310" s="66"/>
      <c r="CI310" s="66"/>
      <c r="CJ310" s="66"/>
      <c r="CK310" s="66"/>
      <c r="CL310" s="66"/>
      <c r="CM310" s="66"/>
      <c r="CN310" s="66"/>
      <c r="CO310" s="66"/>
      <c r="CP310" s="66"/>
      <c r="CQ310" s="66"/>
      <c r="CR310" s="66"/>
      <c r="CS310" s="66"/>
      <c r="CT310" s="66"/>
      <c r="CU310" s="66"/>
      <c r="CV310" s="66"/>
      <c r="CW310" s="66"/>
      <c r="CX310" s="66"/>
    </row>
    <row r="311" spans="2:102" ht="23.25" customHeight="1" x14ac:dyDescent="0.2">
      <c r="B311" s="29"/>
      <c r="C311" s="29"/>
      <c r="D311" s="40"/>
      <c r="E311" s="40"/>
      <c r="F311" s="188"/>
      <c r="G311" s="188"/>
      <c r="H311" s="188"/>
      <c r="I311" s="188"/>
      <c r="J311" s="188"/>
      <c r="K311" s="188"/>
      <c r="L311" s="188"/>
      <c r="M311" s="66"/>
      <c r="N311" s="66"/>
      <c r="O311" s="66"/>
      <c r="P311" s="66"/>
      <c r="Q311" s="66"/>
      <c r="R311" s="66"/>
      <c r="S311" s="66"/>
      <c r="T311" s="66"/>
      <c r="U311" s="66"/>
      <c r="V311" s="66"/>
      <c r="W311" s="66"/>
      <c r="X311" s="66"/>
      <c r="Y311" s="66"/>
      <c r="Z311" s="66"/>
      <c r="AA311" s="66"/>
      <c r="AB311" s="66"/>
      <c r="AC311" s="66"/>
      <c r="AD311" s="66"/>
      <c r="AE311" s="66"/>
      <c r="AF311" s="66"/>
      <c r="AG311" s="66"/>
      <c r="AH311" s="66"/>
      <c r="AI311" s="66"/>
      <c r="AJ311" s="66"/>
      <c r="AK311" s="66"/>
      <c r="AL311" s="66"/>
      <c r="AM311" s="66"/>
      <c r="AN311" s="66"/>
      <c r="AO311" s="66"/>
      <c r="AP311" s="66"/>
      <c r="AQ311" s="66"/>
      <c r="AR311" s="66"/>
      <c r="AS311" s="66"/>
      <c r="AT311" s="66"/>
      <c r="AU311" s="66"/>
      <c r="AV311" s="66"/>
      <c r="AW311" s="66"/>
      <c r="AX311" s="66"/>
      <c r="AY311" s="66"/>
      <c r="AZ311" s="66"/>
      <c r="BA311" s="66"/>
      <c r="BB311" s="66"/>
      <c r="BC311" s="66"/>
      <c r="BD311" s="66"/>
      <c r="BE311" s="66"/>
      <c r="BF311" s="66"/>
      <c r="BG311" s="66"/>
      <c r="BH311" s="66"/>
      <c r="BI311" s="66"/>
      <c r="BJ311" s="66"/>
      <c r="BK311" s="66"/>
      <c r="BL311" s="66"/>
      <c r="BM311" s="66"/>
      <c r="BN311" s="66"/>
      <c r="BO311" s="66"/>
      <c r="BP311" s="66"/>
      <c r="BQ311" s="66"/>
      <c r="BR311" s="66"/>
      <c r="BS311" s="66"/>
      <c r="BT311" s="66"/>
      <c r="BU311" s="66"/>
      <c r="BV311" s="66"/>
      <c r="BW311" s="66"/>
      <c r="BX311" s="66"/>
      <c r="BY311" s="66"/>
      <c r="BZ311" s="66"/>
      <c r="CA311" s="66"/>
      <c r="CB311" s="66"/>
      <c r="CC311" s="66"/>
      <c r="CD311" s="66"/>
      <c r="CE311" s="66"/>
      <c r="CF311" s="66"/>
      <c r="CG311" s="66"/>
      <c r="CH311" s="66"/>
      <c r="CI311" s="66"/>
      <c r="CJ311" s="66"/>
      <c r="CK311" s="66"/>
      <c r="CL311" s="66"/>
      <c r="CM311" s="66"/>
      <c r="CN311" s="66"/>
      <c r="CO311" s="66"/>
      <c r="CP311" s="66"/>
      <c r="CQ311" s="66"/>
      <c r="CR311" s="66"/>
      <c r="CS311" s="66"/>
      <c r="CT311" s="66"/>
      <c r="CU311" s="66"/>
      <c r="CV311" s="66"/>
      <c r="CW311" s="66"/>
      <c r="CX311" s="66"/>
    </row>
    <row r="312" spans="2:102" ht="23.25" customHeight="1" x14ac:dyDescent="0.2">
      <c r="B312" s="29"/>
      <c r="C312" s="29"/>
      <c r="D312" s="40"/>
      <c r="E312" s="40"/>
      <c r="F312" s="188"/>
      <c r="G312" s="188"/>
      <c r="H312" s="188"/>
      <c r="I312" s="188"/>
      <c r="J312" s="188"/>
      <c r="K312" s="188"/>
      <c r="L312" s="188"/>
      <c r="M312" s="66"/>
      <c r="N312" s="66"/>
      <c r="O312" s="66"/>
      <c r="P312" s="66"/>
      <c r="Q312" s="66"/>
      <c r="R312" s="66"/>
      <c r="S312" s="66"/>
      <c r="T312" s="66"/>
      <c r="U312" s="66"/>
      <c r="V312" s="66"/>
      <c r="W312" s="66"/>
      <c r="X312" s="66"/>
      <c r="Y312" s="66"/>
      <c r="Z312" s="66"/>
      <c r="AA312" s="66"/>
      <c r="AB312" s="66"/>
      <c r="AC312" s="66"/>
      <c r="AD312" s="66"/>
      <c r="AE312" s="66"/>
      <c r="AF312" s="66"/>
      <c r="AG312" s="66"/>
      <c r="AH312" s="66"/>
      <c r="AI312" s="66"/>
      <c r="AJ312" s="66"/>
      <c r="AK312" s="66"/>
      <c r="AL312" s="66"/>
      <c r="AM312" s="66"/>
      <c r="AN312" s="66"/>
      <c r="AO312" s="66"/>
      <c r="AP312" s="66"/>
      <c r="AQ312" s="66"/>
      <c r="AR312" s="66"/>
      <c r="AS312" s="66"/>
      <c r="AT312" s="66"/>
      <c r="AU312" s="66"/>
      <c r="AV312" s="66"/>
      <c r="AW312" s="66"/>
      <c r="AX312" s="66"/>
      <c r="AY312" s="66"/>
      <c r="AZ312" s="66"/>
      <c r="BA312" s="66"/>
      <c r="BB312" s="66"/>
      <c r="BC312" s="66"/>
      <c r="BD312" s="66"/>
      <c r="BE312" s="66"/>
      <c r="BF312" s="66"/>
      <c r="BG312" s="66"/>
      <c r="BH312" s="66"/>
      <c r="BI312" s="66"/>
      <c r="BJ312" s="66"/>
      <c r="BK312" s="66"/>
      <c r="BL312" s="66"/>
      <c r="BM312" s="66"/>
      <c r="BN312" s="66"/>
      <c r="BO312" s="66"/>
      <c r="BP312" s="66"/>
      <c r="BQ312" s="66"/>
      <c r="BR312" s="66"/>
      <c r="BS312" s="66"/>
      <c r="BT312" s="66"/>
      <c r="BU312" s="66"/>
      <c r="BV312" s="66"/>
      <c r="BW312" s="66"/>
      <c r="BX312" s="66"/>
      <c r="BY312" s="66"/>
      <c r="BZ312" s="66"/>
      <c r="CA312" s="66"/>
      <c r="CB312" s="66"/>
      <c r="CC312" s="66"/>
      <c r="CD312" s="66"/>
      <c r="CE312" s="66"/>
      <c r="CF312" s="66"/>
      <c r="CG312" s="66"/>
      <c r="CH312" s="66"/>
      <c r="CI312" s="66"/>
      <c r="CJ312" s="66"/>
      <c r="CK312" s="66"/>
      <c r="CL312" s="66"/>
      <c r="CM312" s="66"/>
      <c r="CN312" s="66"/>
      <c r="CO312" s="66"/>
      <c r="CP312" s="66"/>
      <c r="CQ312" s="66"/>
      <c r="CR312" s="66"/>
      <c r="CS312" s="66"/>
      <c r="CT312" s="66"/>
      <c r="CU312" s="66"/>
      <c r="CV312" s="66"/>
      <c r="CW312" s="66"/>
      <c r="CX312" s="66"/>
    </row>
    <row r="313" spans="2:102" ht="23.25" customHeight="1" x14ac:dyDescent="0.2">
      <c r="B313" s="29"/>
      <c r="C313" s="29"/>
      <c r="D313" s="40"/>
      <c r="E313" s="40"/>
      <c r="F313" s="188"/>
      <c r="G313" s="188"/>
      <c r="H313" s="188"/>
      <c r="I313" s="188"/>
      <c r="J313" s="188"/>
      <c r="K313" s="188"/>
      <c r="L313" s="188"/>
      <c r="M313" s="66"/>
      <c r="N313" s="66"/>
      <c r="O313" s="66"/>
      <c r="P313" s="66"/>
      <c r="Q313" s="66"/>
      <c r="R313" s="66"/>
      <c r="S313" s="66"/>
      <c r="T313" s="66"/>
      <c r="U313" s="66"/>
      <c r="V313" s="66"/>
      <c r="W313" s="66"/>
      <c r="X313" s="66"/>
      <c r="Y313" s="66"/>
      <c r="Z313" s="66"/>
      <c r="AA313" s="66"/>
      <c r="AB313" s="66"/>
      <c r="AC313" s="66"/>
      <c r="AD313" s="66"/>
      <c r="AE313" s="66"/>
      <c r="AF313" s="66"/>
      <c r="AG313" s="66"/>
      <c r="AH313" s="66"/>
      <c r="AI313" s="66"/>
      <c r="AJ313" s="66"/>
      <c r="AK313" s="66"/>
      <c r="AL313" s="66"/>
      <c r="AM313" s="66"/>
      <c r="AN313" s="66"/>
      <c r="AO313" s="66"/>
      <c r="AP313" s="66"/>
      <c r="AQ313" s="66"/>
      <c r="AR313" s="66"/>
      <c r="AS313" s="66"/>
      <c r="AT313" s="66"/>
      <c r="AU313" s="66"/>
      <c r="AV313" s="66"/>
      <c r="AW313" s="66"/>
      <c r="AX313" s="66"/>
      <c r="AY313" s="66"/>
      <c r="AZ313" s="66"/>
      <c r="BA313" s="66"/>
      <c r="BB313" s="66"/>
      <c r="BC313" s="66"/>
      <c r="BD313" s="66"/>
      <c r="BE313" s="66"/>
      <c r="BF313" s="66"/>
      <c r="BG313" s="66"/>
      <c r="BH313" s="66"/>
      <c r="BI313" s="66"/>
      <c r="BJ313" s="66"/>
      <c r="BK313" s="66"/>
      <c r="BL313" s="66"/>
      <c r="BM313" s="66"/>
      <c r="BN313" s="66"/>
      <c r="BO313" s="66"/>
      <c r="BP313" s="66"/>
      <c r="BQ313" s="66"/>
      <c r="BR313" s="66"/>
      <c r="BS313" s="66"/>
      <c r="BT313" s="66"/>
      <c r="BU313" s="66"/>
      <c r="BV313" s="66"/>
      <c r="BW313" s="66"/>
      <c r="BX313" s="66"/>
      <c r="BY313" s="66"/>
      <c r="BZ313" s="66"/>
      <c r="CA313" s="66"/>
      <c r="CB313" s="66"/>
      <c r="CC313" s="66"/>
      <c r="CD313" s="66"/>
      <c r="CE313" s="66"/>
      <c r="CF313" s="66"/>
      <c r="CG313" s="66"/>
      <c r="CH313" s="66"/>
      <c r="CI313" s="66"/>
      <c r="CJ313" s="66"/>
      <c r="CK313" s="66"/>
      <c r="CL313" s="66"/>
      <c r="CM313" s="66"/>
      <c r="CN313" s="66"/>
      <c r="CO313" s="66"/>
      <c r="CP313" s="66"/>
      <c r="CQ313" s="66"/>
      <c r="CR313" s="66"/>
      <c r="CS313" s="66"/>
      <c r="CT313" s="66"/>
      <c r="CU313" s="66"/>
      <c r="CV313" s="66"/>
      <c r="CW313" s="66"/>
      <c r="CX313" s="66"/>
    </row>
    <row r="314" spans="2:102" ht="23.25" customHeight="1" x14ac:dyDescent="0.2">
      <c r="B314" s="29"/>
      <c r="C314" s="29"/>
      <c r="D314" s="40"/>
      <c r="E314" s="40"/>
      <c r="F314" s="188"/>
      <c r="G314" s="188"/>
      <c r="H314" s="188"/>
      <c r="I314" s="188"/>
      <c r="J314" s="188"/>
      <c r="K314" s="188"/>
      <c r="L314" s="188"/>
      <c r="M314" s="66"/>
      <c r="N314" s="66"/>
      <c r="O314" s="66"/>
      <c r="P314" s="66"/>
      <c r="Q314" s="66"/>
      <c r="R314" s="66"/>
      <c r="S314" s="66"/>
      <c r="T314" s="66"/>
      <c r="U314" s="66"/>
      <c r="V314" s="66"/>
      <c r="W314" s="66"/>
      <c r="X314" s="66"/>
      <c r="Y314" s="66"/>
      <c r="Z314" s="66"/>
      <c r="AA314" s="66"/>
      <c r="AB314" s="66"/>
      <c r="AC314" s="66"/>
      <c r="AD314" s="66"/>
      <c r="AE314" s="66"/>
      <c r="AF314" s="66"/>
      <c r="AG314" s="66"/>
      <c r="AH314" s="66"/>
      <c r="AI314" s="66"/>
      <c r="AJ314" s="66"/>
      <c r="AK314" s="66"/>
      <c r="AL314" s="66"/>
      <c r="AM314" s="66"/>
      <c r="AN314" s="66"/>
      <c r="AO314" s="66"/>
      <c r="AP314" s="66"/>
      <c r="AQ314" s="66"/>
      <c r="AR314" s="66"/>
      <c r="AS314" s="66"/>
      <c r="AT314" s="66"/>
      <c r="AU314" s="66"/>
      <c r="AV314" s="66"/>
      <c r="AW314" s="66"/>
      <c r="AX314" s="66"/>
      <c r="AY314" s="66"/>
      <c r="AZ314" s="66"/>
      <c r="BA314" s="66"/>
      <c r="BB314" s="66"/>
      <c r="BC314" s="66"/>
      <c r="BD314" s="66"/>
      <c r="BE314" s="66"/>
      <c r="BF314" s="66"/>
      <c r="BG314" s="66"/>
      <c r="BH314" s="66"/>
      <c r="BI314" s="66"/>
      <c r="BJ314" s="66"/>
      <c r="BK314" s="66"/>
      <c r="BL314" s="66"/>
      <c r="BM314" s="66"/>
      <c r="BN314" s="66"/>
      <c r="BO314" s="66"/>
      <c r="BP314" s="66"/>
      <c r="BQ314" s="66"/>
      <c r="BR314" s="66"/>
      <c r="BS314" s="66"/>
      <c r="BT314" s="66"/>
      <c r="BU314" s="66"/>
      <c r="BV314" s="66"/>
      <c r="BW314" s="66"/>
      <c r="BX314" s="66"/>
      <c r="BY314" s="66"/>
      <c r="BZ314" s="66"/>
      <c r="CA314" s="66"/>
      <c r="CB314" s="66"/>
      <c r="CC314" s="66"/>
      <c r="CD314" s="66"/>
      <c r="CE314" s="66"/>
      <c r="CF314" s="66"/>
      <c r="CG314" s="66"/>
      <c r="CH314" s="66"/>
      <c r="CI314" s="66"/>
      <c r="CJ314" s="66"/>
      <c r="CK314" s="66"/>
      <c r="CL314" s="66"/>
      <c r="CM314" s="66"/>
      <c r="CN314" s="66"/>
      <c r="CO314" s="66"/>
      <c r="CP314" s="66"/>
      <c r="CQ314" s="66"/>
      <c r="CR314" s="66"/>
      <c r="CS314" s="66"/>
      <c r="CT314" s="66"/>
      <c r="CU314" s="66"/>
      <c r="CV314" s="66"/>
      <c r="CW314" s="66"/>
      <c r="CX314" s="66"/>
    </row>
    <row r="315" spans="2:102" ht="23.25" customHeight="1" x14ac:dyDescent="0.2">
      <c r="B315" s="29"/>
      <c r="C315" s="29"/>
      <c r="D315" s="40"/>
      <c r="E315" s="40"/>
      <c r="F315" s="188"/>
      <c r="G315" s="188"/>
      <c r="H315" s="188"/>
      <c r="I315" s="188"/>
      <c r="J315" s="188"/>
      <c r="K315" s="188"/>
      <c r="L315" s="188"/>
      <c r="M315" s="66"/>
      <c r="N315" s="66"/>
      <c r="O315" s="66"/>
      <c r="P315" s="66"/>
      <c r="Q315" s="66"/>
      <c r="R315" s="66"/>
      <c r="S315" s="66"/>
      <c r="T315" s="66"/>
      <c r="U315" s="66"/>
      <c r="V315" s="66"/>
      <c r="W315" s="66"/>
      <c r="X315" s="66"/>
      <c r="Y315" s="66"/>
      <c r="Z315" s="66"/>
      <c r="AA315" s="66"/>
      <c r="AB315" s="66"/>
      <c r="AC315" s="66"/>
      <c r="AD315" s="66"/>
      <c r="AE315" s="66"/>
      <c r="AF315" s="66"/>
      <c r="AG315" s="66"/>
      <c r="AH315" s="66"/>
      <c r="AI315" s="66"/>
      <c r="AJ315" s="66"/>
      <c r="AK315" s="66"/>
      <c r="AL315" s="66"/>
      <c r="AM315" s="66"/>
      <c r="AN315" s="66"/>
      <c r="AO315" s="66"/>
      <c r="AP315" s="66"/>
      <c r="AQ315" s="66"/>
      <c r="AR315" s="66"/>
      <c r="AS315" s="66"/>
      <c r="AT315" s="66"/>
      <c r="AU315" s="66"/>
      <c r="AV315" s="66"/>
      <c r="AW315" s="66"/>
      <c r="AX315" s="66"/>
      <c r="AY315" s="66"/>
      <c r="AZ315" s="66"/>
      <c r="BA315" s="66"/>
      <c r="BB315" s="66"/>
      <c r="BC315" s="66"/>
      <c r="BD315" s="66"/>
      <c r="BE315" s="66"/>
      <c r="BF315" s="66"/>
      <c r="BG315" s="66"/>
      <c r="BH315" s="66"/>
      <c r="BI315" s="66"/>
      <c r="BJ315" s="66"/>
      <c r="BK315" s="66"/>
      <c r="BL315" s="66"/>
      <c r="BM315" s="66"/>
      <c r="BN315" s="66"/>
      <c r="BO315" s="66"/>
      <c r="BP315" s="66"/>
      <c r="BQ315" s="66"/>
      <c r="BR315" s="66"/>
      <c r="BS315" s="66"/>
      <c r="BT315" s="66"/>
      <c r="BU315" s="66"/>
      <c r="BV315" s="66"/>
      <c r="BW315" s="66"/>
      <c r="BX315" s="66"/>
      <c r="BY315" s="66"/>
      <c r="BZ315" s="66"/>
      <c r="CA315" s="66"/>
      <c r="CB315" s="66"/>
      <c r="CC315" s="66"/>
      <c r="CD315" s="66"/>
      <c r="CE315" s="66"/>
      <c r="CF315" s="66"/>
      <c r="CG315" s="66"/>
      <c r="CH315" s="66"/>
      <c r="CI315" s="66"/>
      <c r="CJ315" s="66"/>
      <c r="CK315" s="66"/>
      <c r="CL315" s="66"/>
      <c r="CM315" s="66"/>
      <c r="CN315" s="66"/>
      <c r="CO315" s="66"/>
      <c r="CP315" s="66"/>
      <c r="CQ315" s="66"/>
      <c r="CR315" s="66"/>
      <c r="CS315" s="66"/>
      <c r="CT315" s="66"/>
      <c r="CU315" s="66"/>
      <c r="CV315" s="66"/>
      <c r="CW315" s="66"/>
      <c r="CX315" s="66"/>
    </row>
    <row r="316" spans="2:102" ht="23.25" customHeight="1" x14ac:dyDescent="0.2">
      <c r="B316" s="29"/>
      <c r="C316" s="29"/>
      <c r="D316" s="40"/>
      <c r="E316" s="40"/>
      <c r="F316" s="188"/>
      <c r="G316" s="188"/>
      <c r="H316" s="188"/>
      <c r="I316" s="188"/>
      <c r="J316" s="188"/>
      <c r="K316" s="188"/>
      <c r="L316" s="188"/>
      <c r="M316" s="66"/>
      <c r="N316" s="66"/>
      <c r="O316" s="66"/>
      <c r="P316" s="66"/>
      <c r="Q316" s="66"/>
      <c r="R316" s="66"/>
      <c r="S316" s="66"/>
      <c r="T316" s="66"/>
      <c r="U316" s="66"/>
      <c r="V316" s="66"/>
      <c r="W316" s="66"/>
      <c r="X316" s="66"/>
      <c r="Y316" s="66"/>
      <c r="Z316" s="66"/>
      <c r="AA316" s="66"/>
      <c r="AB316" s="66"/>
      <c r="AC316" s="66"/>
      <c r="AD316" s="66"/>
      <c r="AE316" s="66"/>
      <c r="AF316" s="66"/>
      <c r="AG316" s="66"/>
      <c r="AH316" s="66"/>
      <c r="AI316" s="66"/>
      <c r="AJ316" s="66"/>
      <c r="AK316" s="66"/>
      <c r="AL316" s="66"/>
      <c r="AM316" s="66"/>
      <c r="AN316" s="66"/>
      <c r="AO316" s="66"/>
      <c r="AP316" s="66"/>
      <c r="AQ316" s="66"/>
      <c r="AR316" s="66"/>
      <c r="AS316" s="66"/>
      <c r="AT316" s="66"/>
      <c r="AU316" s="66"/>
      <c r="AV316" s="66"/>
      <c r="AW316" s="66"/>
      <c r="AX316" s="66"/>
      <c r="AY316" s="66"/>
      <c r="AZ316" s="66"/>
      <c r="BA316" s="66"/>
      <c r="BB316" s="66"/>
      <c r="BC316" s="66"/>
      <c r="BD316" s="66"/>
      <c r="BE316" s="66"/>
      <c r="BF316" s="66"/>
      <c r="BG316" s="66"/>
      <c r="BH316" s="66"/>
      <c r="BI316" s="66"/>
      <c r="BJ316" s="66"/>
      <c r="BK316" s="66"/>
      <c r="BL316" s="66"/>
      <c r="BM316" s="66"/>
      <c r="BN316" s="66"/>
      <c r="BO316" s="66"/>
      <c r="BP316" s="66"/>
      <c r="BQ316" s="66"/>
      <c r="BR316" s="66"/>
      <c r="BS316" s="66"/>
      <c r="BT316" s="66"/>
      <c r="BU316" s="66"/>
      <c r="BV316" s="66"/>
      <c r="BW316" s="66"/>
      <c r="BX316" s="66"/>
      <c r="BY316" s="66"/>
      <c r="BZ316" s="66"/>
      <c r="CA316" s="66"/>
      <c r="CB316" s="66"/>
      <c r="CC316" s="66"/>
      <c r="CD316" s="66"/>
      <c r="CE316" s="66"/>
      <c r="CF316" s="66"/>
      <c r="CG316" s="66"/>
      <c r="CH316" s="66"/>
      <c r="CI316" s="66"/>
      <c r="CJ316" s="66"/>
      <c r="CK316" s="66"/>
      <c r="CL316" s="66"/>
      <c r="CM316" s="66"/>
      <c r="CN316" s="66"/>
      <c r="CO316" s="66"/>
      <c r="CP316" s="66"/>
      <c r="CQ316" s="66"/>
      <c r="CR316" s="66"/>
      <c r="CS316" s="66"/>
      <c r="CT316" s="66"/>
      <c r="CU316" s="66"/>
      <c r="CV316" s="66"/>
      <c r="CW316" s="66"/>
      <c r="CX316" s="66"/>
    </row>
  </sheetData>
  <sheetCalcPr fullCalcOnLoad="1"/>
  <sheetProtection password="CEF3" sheet="1" objects="1" scenarios="1" selectLockedCells="1"/>
  <mergeCells count="969">
    <mergeCell ref="AF28:AI29"/>
    <mergeCell ref="AL28:AO29"/>
    <mergeCell ref="AR28:AU29"/>
    <mergeCell ref="BA31:BD32"/>
    <mergeCell ref="BJ10:BM11"/>
    <mergeCell ref="BM13:BP14"/>
    <mergeCell ref="BP16:BS17"/>
    <mergeCell ref="AO19:AR20"/>
    <mergeCell ref="BD4:BG5"/>
    <mergeCell ref="AX10:BA11"/>
    <mergeCell ref="BD10:BG11"/>
    <mergeCell ref="AU25:AX26"/>
    <mergeCell ref="BA7:BD8"/>
    <mergeCell ref="BG7:BJ8"/>
    <mergeCell ref="AU13:AX14"/>
    <mergeCell ref="BA13:BD14"/>
    <mergeCell ref="BG13:BJ14"/>
    <mergeCell ref="AU19:AX20"/>
    <mergeCell ref="AX22:BA23"/>
    <mergeCell ref="BD22:BG23"/>
    <mergeCell ref="AR16:AU17"/>
    <mergeCell ref="AX16:BA17"/>
    <mergeCell ref="BD16:BG17"/>
    <mergeCell ref="BJ16:BM17"/>
    <mergeCell ref="BS25:BV26"/>
    <mergeCell ref="AX28:BA29"/>
    <mergeCell ref="BV22:BY23"/>
    <mergeCell ref="AI25:AL26"/>
    <mergeCell ref="AO25:AR26"/>
    <mergeCell ref="BA19:BD20"/>
    <mergeCell ref="BG19:BJ20"/>
    <mergeCell ref="BM19:BP20"/>
    <mergeCell ref="AL22:AO23"/>
    <mergeCell ref="AR22:AU23"/>
    <mergeCell ref="CB28:CE29"/>
    <mergeCell ref="BS31:BV32"/>
    <mergeCell ref="BY31:CB32"/>
    <mergeCell ref="CE31:CH32"/>
    <mergeCell ref="BY25:CB26"/>
    <mergeCell ref="BJ22:BM23"/>
    <mergeCell ref="BP22:BS23"/>
    <mergeCell ref="BJ28:BM29"/>
    <mergeCell ref="BP28:BS29"/>
    <mergeCell ref="BG25:BJ26"/>
    <mergeCell ref="Z34:AC35"/>
    <mergeCell ref="AF34:AI35"/>
    <mergeCell ref="AC31:AF32"/>
    <mergeCell ref="AI31:AL32"/>
    <mergeCell ref="BS19:BV20"/>
    <mergeCell ref="BM31:BP32"/>
    <mergeCell ref="BV28:BY29"/>
    <mergeCell ref="BD28:BG29"/>
    <mergeCell ref="BA25:BD26"/>
    <mergeCell ref="BM25:BP26"/>
    <mergeCell ref="BG37:BJ38"/>
    <mergeCell ref="BJ34:BM35"/>
    <mergeCell ref="BP34:BS35"/>
    <mergeCell ref="AX34:BA35"/>
    <mergeCell ref="BD34:BG35"/>
    <mergeCell ref="AO31:AR32"/>
    <mergeCell ref="AU31:AX32"/>
    <mergeCell ref="AL34:AO35"/>
    <mergeCell ref="AR34:AU35"/>
    <mergeCell ref="BG31:BJ32"/>
    <mergeCell ref="W37:Z38"/>
    <mergeCell ref="AC37:AF38"/>
    <mergeCell ref="AI37:AL38"/>
    <mergeCell ref="AO37:AR38"/>
    <mergeCell ref="AU37:AX38"/>
    <mergeCell ref="BA37:BD38"/>
    <mergeCell ref="BM37:BP38"/>
    <mergeCell ref="BS37:BV38"/>
    <mergeCell ref="BY37:CB38"/>
    <mergeCell ref="CE37:CH38"/>
    <mergeCell ref="BV34:BY35"/>
    <mergeCell ref="CB34:CE35"/>
    <mergeCell ref="CH34:CK35"/>
    <mergeCell ref="CH40:CK41"/>
    <mergeCell ref="CN40:CQ41"/>
    <mergeCell ref="CK37:CN38"/>
    <mergeCell ref="T40:W41"/>
    <mergeCell ref="Z40:AC41"/>
    <mergeCell ref="AF40:AI41"/>
    <mergeCell ref="AL40:AO41"/>
    <mergeCell ref="AR40:AU41"/>
    <mergeCell ref="AX40:BA41"/>
    <mergeCell ref="BD40:BG41"/>
    <mergeCell ref="Q43:T44"/>
    <mergeCell ref="W43:Z44"/>
    <mergeCell ref="AC43:AF44"/>
    <mergeCell ref="AI43:AL44"/>
    <mergeCell ref="BV40:BY41"/>
    <mergeCell ref="CB40:CE41"/>
    <mergeCell ref="BJ40:BM41"/>
    <mergeCell ref="BP40:BS41"/>
    <mergeCell ref="BM43:BP44"/>
    <mergeCell ref="BS43:BV44"/>
    <mergeCell ref="BY43:CB44"/>
    <mergeCell ref="CE43:CH44"/>
    <mergeCell ref="AO43:AR44"/>
    <mergeCell ref="AU43:AX44"/>
    <mergeCell ref="BA43:BD44"/>
    <mergeCell ref="BG43:BJ44"/>
    <mergeCell ref="CK43:CN44"/>
    <mergeCell ref="CQ43:CT44"/>
    <mergeCell ref="F47:L47"/>
    <mergeCell ref="M47:R47"/>
    <mergeCell ref="S47:X47"/>
    <mergeCell ref="Y47:AD47"/>
    <mergeCell ref="AE47:AJ47"/>
    <mergeCell ref="AK47:AP47"/>
    <mergeCell ref="AQ47:AV47"/>
    <mergeCell ref="AW47:BB47"/>
    <mergeCell ref="CM47:CR47"/>
    <mergeCell ref="CS47:CX47"/>
    <mergeCell ref="BC47:BH47"/>
    <mergeCell ref="BI47:BN47"/>
    <mergeCell ref="BO47:BT47"/>
    <mergeCell ref="BU47:BZ47"/>
    <mergeCell ref="F48:L48"/>
    <mergeCell ref="M48:R48"/>
    <mergeCell ref="S48:X48"/>
    <mergeCell ref="Y48:AD48"/>
    <mergeCell ref="CA47:CF47"/>
    <mergeCell ref="CG47:CL47"/>
    <mergeCell ref="CM48:CR48"/>
    <mergeCell ref="CS48:CX48"/>
    <mergeCell ref="BC48:BH48"/>
    <mergeCell ref="BI48:BN48"/>
    <mergeCell ref="BO48:BT48"/>
    <mergeCell ref="BU48:BZ48"/>
    <mergeCell ref="B49:B55"/>
    <mergeCell ref="C49:C55"/>
    <mergeCell ref="D49:D55"/>
    <mergeCell ref="E49:E55"/>
    <mergeCell ref="CA48:CF48"/>
    <mergeCell ref="CG48:CL48"/>
    <mergeCell ref="AE48:AJ48"/>
    <mergeCell ref="AK48:AP48"/>
    <mergeCell ref="AQ48:AV48"/>
    <mergeCell ref="AW48:BB48"/>
    <mergeCell ref="AK49:AP55"/>
    <mergeCell ref="AQ49:AV55"/>
    <mergeCell ref="AW49:BB55"/>
    <mergeCell ref="BC49:BH55"/>
    <mergeCell ref="M49:R55"/>
    <mergeCell ref="S49:X55"/>
    <mergeCell ref="Y49:AD55"/>
    <mergeCell ref="AE49:AJ55"/>
    <mergeCell ref="CG49:CL55"/>
    <mergeCell ref="CM49:CR55"/>
    <mergeCell ref="CS49:CX55"/>
    <mergeCell ref="BI49:BN55"/>
    <mergeCell ref="BO49:BT55"/>
    <mergeCell ref="BU49:BZ55"/>
    <mergeCell ref="CA49:CF55"/>
    <mergeCell ref="AE56:AJ56"/>
    <mergeCell ref="AK56:AP56"/>
    <mergeCell ref="AQ56:AV56"/>
    <mergeCell ref="AW56:BB56"/>
    <mergeCell ref="F56:L56"/>
    <mergeCell ref="M56:R56"/>
    <mergeCell ref="S56:X56"/>
    <mergeCell ref="Y56:AD56"/>
    <mergeCell ref="CA56:CF56"/>
    <mergeCell ref="CG56:CL56"/>
    <mergeCell ref="CM56:CR56"/>
    <mergeCell ref="CS56:CX56"/>
    <mergeCell ref="BC56:BH56"/>
    <mergeCell ref="BI56:BN56"/>
    <mergeCell ref="BO56:BT56"/>
    <mergeCell ref="BU56:BZ56"/>
    <mergeCell ref="AE57:AJ57"/>
    <mergeCell ref="AK57:AP57"/>
    <mergeCell ref="AQ57:AV57"/>
    <mergeCell ref="AW57:BB57"/>
    <mergeCell ref="F57:L57"/>
    <mergeCell ref="M57:R57"/>
    <mergeCell ref="S57:X57"/>
    <mergeCell ref="Y57:AD57"/>
    <mergeCell ref="CA57:CF57"/>
    <mergeCell ref="CG57:CL57"/>
    <mergeCell ref="CM57:CR57"/>
    <mergeCell ref="CS57:CX57"/>
    <mergeCell ref="BC57:BH57"/>
    <mergeCell ref="BI57:BN57"/>
    <mergeCell ref="BO57:BT57"/>
    <mergeCell ref="BU57:BZ57"/>
    <mergeCell ref="AE58:AJ58"/>
    <mergeCell ref="AK58:AP58"/>
    <mergeCell ref="AQ58:AV58"/>
    <mergeCell ref="AW58:BB58"/>
    <mergeCell ref="F58:L58"/>
    <mergeCell ref="M58:R58"/>
    <mergeCell ref="S58:X58"/>
    <mergeCell ref="Y58:AD58"/>
    <mergeCell ref="CA58:CF58"/>
    <mergeCell ref="CG58:CL58"/>
    <mergeCell ref="CM58:CR58"/>
    <mergeCell ref="CS58:CX58"/>
    <mergeCell ref="BC58:BH58"/>
    <mergeCell ref="BI58:BN58"/>
    <mergeCell ref="BO58:BT58"/>
    <mergeCell ref="BU58:BZ58"/>
    <mergeCell ref="AE59:AJ59"/>
    <mergeCell ref="AK59:AP59"/>
    <mergeCell ref="AQ59:AV59"/>
    <mergeCell ref="AW59:BB59"/>
    <mergeCell ref="F59:L59"/>
    <mergeCell ref="M59:R59"/>
    <mergeCell ref="S59:X59"/>
    <mergeCell ref="Y59:AD59"/>
    <mergeCell ref="CA59:CF59"/>
    <mergeCell ref="CG59:CL59"/>
    <mergeCell ref="CM59:CR59"/>
    <mergeCell ref="CS59:CX59"/>
    <mergeCell ref="BC59:BH59"/>
    <mergeCell ref="BI59:BN59"/>
    <mergeCell ref="BO59:BT59"/>
    <mergeCell ref="BU59:BZ59"/>
    <mergeCell ref="AE60:AJ60"/>
    <mergeCell ref="AK60:AP60"/>
    <mergeCell ref="AQ60:AV60"/>
    <mergeCell ref="AW60:BB60"/>
    <mergeCell ref="F60:L60"/>
    <mergeCell ref="M60:R60"/>
    <mergeCell ref="S60:X60"/>
    <mergeCell ref="Y60:AD60"/>
    <mergeCell ref="CA60:CF60"/>
    <mergeCell ref="CG60:CL60"/>
    <mergeCell ref="CM60:CR60"/>
    <mergeCell ref="CS60:CX60"/>
    <mergeCell ref="BC60:BH60"/>
    <mergeCell ref="BI60:BN60"/>
    <mergeCell ref="BO60:BT60"/>
    <mergeCell ref="BU60:BZ60"/>
    <mergeCell ref="AE61:AJ61"/>
    <mergeCell ref="AK61:AP61"/>
    <mergeCell ref="AQ61:AV61"/>
    <mergeCell ref="AW61:BB61"/>
    <mergeCell ref="F61:L61"/>
    <mergeCell ref="M61:R61"/>
    <mergeCell ref="S61:X61"/>
    <mergeCell ref="Y61:AD61"/>
    <mergeCell ref="CA61:CF61"/>
    <mergeCell ref="CG61:CL61"/>
    <mergeCell ref="CM61:CR61"/>
    <mergeCell ref="CS61:CX61"/>
    <mergeCell ref="BC61:BH61"/>
    <mergeCell ref="BI61:BN61"/>
    <mergeCell ref="BO61:BT61"/>
    <mergeCell ref="BU61:BZ61"/>
    <mergeCell ref="AE62:AJ62"/>
    <mergeCell ref="AK62:AP62"/>
    <mergeCell ref="AQ62:AV62"/>
    <mergeCell ref="AW62:BB62"/>
    <mergeCell ref="F62:L62"/>
    <mergeCell ref="M62:R62"/>
    <mergeCell ref="S62:X62"/>
    <mergeCell ref="Y62:AD62"/>
    <mergeCell ref="CA62:CF62"/>
    <mergeCell ref="CG62:CL62"/>
    <mergeCell ref="CM62:CR62"/>
    <mergeCell ref="CS62:CX62"/>
    <mergeCell ref="BC62:BH62"/>
    <mergeCell ref="BI62:BN62"/>
    <mergeCell ref="BO62:BT62"/>
    <mergeCell ref="BU62:BZ62"/>
    <mergeCell ref="AE63:AJ63"/>
    <mergeCell ref="AK63:AP63"/>
    <mergeCell ref="AQ63:AV63"/>
    <mergeCell ref="AW63:BB63"/>
    <mergeCell ref="F63:L63"/>
    <mergeCell ref="M63:R63"/>
    <mergeCell ref="S63:X63"/>
    <mergeCell ref="Y63:AD63"/>
    <mergeCell ref="CA63:CF63"/>
    <mergeCell ref="CG63:CL63"/>
    <mergeCell ref="CM63:CR63"/>
    <mergeCell ref="CS63:CX63"/>
    <mergeCell ref="BC63:BH63"/>
    <mergeCell ref="BI63:BN63"/>
    <mergeCell ref="BO63:BT63"/>
    <mergeCell ref="BU63:BZ63"/>
    <mergeCell ref="AE64:AJ64"/>
    <mergeCell ref="AK64:AP64"/>
    <mergeCell ref="AQ64:AV64"/>
    <mergeCell ref="AW64:BB64"/>
    <mergeCell ref="F64:L64"/>
    <mergeCell ref="M64:R64"/>
    <mergeCell ref="S64:X64"/>
    <mergeCell ref="Y64:AD64"/>
    <mergeCell ref="CA64:CF64"/>
    <mergeCell ref="CG64:CL64"/>
    <mergeCell ref="CM64:CR64"/>
    <mergeCell ref="CS64:CX64"/>
    <mergeCell ref="BC64:BH64"/>
    <mergeCell ref="BI64:BN64"/>
    <mergeCell ref="BO64:BT64"/>
    <mergeCell ref="BU64:BZ64"/>
    <mergeCell ref="AE65:AJ65"/>
    <mergeCell ref="AK65:AP65"/>
    <mergeCell ref="AQ65:AV65"/>
    <mergeCell ref="AW65:BB65"/>
    <mergeCell ref="F65:L65"/>
    <mergeCell ref="M65:R65"/>
    <mergeCell ref="S65:X65"/>
    <mergeCell ref="Y65:AD65"/>
    <mergeCell ref="CA65:CF65"/>
    <mergeCell ref="CG65:CL65"/>
    <mergeCell ref="CM65:CR65"/>
    <mergeCell ref="CS65:CX65"/>
    <mergeCell ref="BC65:BH65"/>
    <mergeCell ref="BI65:BN65"/>
    <mergeCell ref="BO65:BT65"/>
    <mergeCell ref="BU65:BZ65"/>
    <mergeCell ref="AE66:AJ66"/>
    <mergeCell ref="AK66:AP66"/>
    <mergeCell ref="AQ66:AV66"/>
    <mergeCell ref="AW66:BB66"/>
    <mergeCell ref="F66:L66"/>
    <mergeCell ref="M66:R66"/>
    <mergeCell ref="S66:X66"/>
    <mergeCell ref="Y66:AD66"/>
    <mergeCell ref="CA66:CF66"/>
    <mergeCell ref="CG66:CL66"/>
    <mergeCell ref="CM66:CR66"/>
    <mergeCell ref="CS66:CX66"/>
    <mergeCell ref="BC66:BH66"/>
    <mergeCell ref="BI66:BN66"/>
    <mergeCell ref="BO66:BT66"/>
    <mergeCell ref="BU66:BZ66"/>
    <mergeCell ref="AE67:AJ67"/>
    <mergeCell ref="AK67:AP67"/>
    <mergeCell ref="AQ67:AV67"/>
    <mergeCell ref="AW67:BB67"/>
    <mergeCell ref="F67:L67"/>
    <mergeCell ref="M67:R67"/>
    <mergeCell ref="S67:X67"/>
    <mergeCell ref="Y67:AD67"/>
    <mergeCell ref="CA67:CF67"/>
    <mergeCell ref="CG67:CL67"/>
    <mergeCell ref="CM67:CR67"/>
    <mergeCell ref="CS67:CX67"/>
    <mergeCell ref="BC67:BH67"/>
    <mergeCell ref="BI67:BN67"/>
    <mergeCell ref="BO67:BT67"/>
    <mergeCell ref="BU67:BZ67"/>
    <mergeCell ref="AE68:AJ68"/>
    <mergeCell ref="AK68:AP68"/>
    <mergeCell ref="AQ68:AV68"/>
    <mergeCell ref="AW68:BB68"/>
    <mergeCell ref="F68:L68"/>
    <mergeCell ref="M68:R68"/>
    <mergeCell ref="S68:X68"/>
    <mergeCell ref="Y68:AD68"/>
    <mergeCell ref="CA68:CF68"/>
    <mergeCell ref="CG68:CL68"/>
    <mergeCell ref="CM68:CR68"/>
    <mergeCell ref="CS68:CX68"/>
    <mergeCell ref="BC68:BH68"/>
    <mergeCell ref="BI68:BN68"/>
    <mergeCell ref="BO68:BT68"/>
    <mergeCell ref="BU68:BZ68"/>
    <mergeCell ref="AE69:AJ69"/>
    <mergeCell ref="AK69:AP69"/>
    <mergeCell ref="AQ69:AV69"/>
    <mergeCell ref="AW69:BB69"/>
    <mergeCell ref="F69:L69"/>
    <mergeCell ref="M69:R69"/>
    <mergeCell ref="S69:X69"/>
    <mergeCell ref="Y69:AD69"/>
    <mergeCell ref="CA69:CF69"/>
    <mergeCell ref="CG69:CL69"/>
    <mergeCell ref="CM69:CR69"/>
    <mergeCell ref="CS69:CX69"/>
    <mergeCell ref="BC69:BH69"/>
    <mergeCell ref="BI69:BN69"/>
    <mergeCell ref="BO69:BT69"/>
    <mergeCell ref="BU69:BZ69"/>
    <mergeCell ref="AE70:AJ70"/>
    <mergeCell ref="AK70:AP70"/>
    <mergeCell ref="AQ70:AV70"/>
    <mergeCell ref="AW70:BB70"/>
    <mergeCell ref="F70:L70"/>
    <mergeCell ref="M70:R70"/>
    <mergeCell ref="S70:X70"/>
    <mergeCell ref="Y70:AD70"/>
    <mergeCell ref="CA70:CF70"/>
    <mergeCell ref="CG70:CL70"/>
    <mergeCell ref="CM70:CR70"/>
    <mergeCell ref="CS70:CX70"/>
    <mergeCell ref="BC70:BH70"/>
    <mergeCell ref="BI70:BN70"/>
    <mergeCell ref="BO70:BT70"/>
    <mergeCell ref="BU70:BZ70"/>
    <mergeCell ref="AE71:AJ71"/>
    <mergeCell ref="AK71:AP71"/>
    <mergeCell ref="AQ71:AV71"/>
    <mergeCell ref="AW71:BB71"/>
    <mergeCell ref="F71:L71"/>
    <mergeCell ref="M71:R71"/>
    <mergeCell ref="S71:X71"/>
    <mergeCell ref="Y71:AD71"/>
    <mergeCell ref="CA71:CF71"/>
    <mergeCell ref="CG71:CL71"/>
    <mergeCell ref="CM71:CR71"/>
    <mergeCell ref="CS71:CX71"/>
    <mergeCell ref="BC71:BH71"/>
    <mergeCell ref="BI71:BN71"/>
    <mergeCell ref="BO71:BT71"/>
    <mergeCell ref="BU71:BZ71"/>
    <mergeCell ref="AE72:AJ72"/>
    <mergeCell ref="AK72:AP72"/>
    <mergeCell ref="AQ72:AV72"/>
    <mergeCell ref="AW72:BB72"/>
    <mergeCell ref="F72:L72"/>
    <mergeCell ref="M72:R72"/>
    <mergeCell ref="S72:X72"/>
    <mergeCell ref="Y72:AD72"/>
    <mergeCell ref="CA72:CF72"/>
    <mergeCell ref="CG72:CL72"/>
    <mergeCell ref="CM72:CR72"/>
    <mergeCell ref="CS72:CX72"/>
    <mergeCell ref="BC72:BH72"/>
    <mergeCell ref="BI72:BN72"/>
    <mergeCell ref="BO72:BT72"/>
    <mergeCell ref="BU72:BZ72"/>
    <mergeCell ref="AE73:AJ73"/>
    <mergeCell ref="AK73:AP73"/>
    <mergeCell ref="AQ73:AV73"/>
    <mergeCell ref="AW73:BB73"/>
    <mergeCell ref="F73:L73"/>
    <mergeCell ref="M73:R73"/>
    <mergeCell ref="S73:X73"/>
    <mergeCell ref="Y73:AD73"/>
    <mergeCell ref="CA73:CF73"/>
    <mergeCell ref="CG73:CL73"/>
    <mergeCell ref="CM73:CR73"/>
    <mergeCell ref="CS73:CX73"/>
    <mergeCell ref="BC73:BH73"/>
    <mergeCell ref="BI73:BN73"/>
    <mergeCell ref="BO73:BT73"/>
    <mergeCell ref="BU73:BZ73"/>
    <mergeCell ref="AE74:AJ74"/>
    <mergeCell ref="AK74:AP74"/>
    <mergeCell ref="AQ74:AV74"/>
    <mergeCell ref="AW74:BB74"/>
    <mergeCell ref="F74:L74"/>
    <mergeCell ref="M74:R74"/>
    <mergeCell ref="S74:X74"/>
    <mergeCell ref="Y74:AD74"/>
    <mergeCell ref="CA74:CF74"/>
    <mergeCell ref="CG74:CL74"/>
    <mergeCell ref="CM74:CR74"/>
    <mergeCell ref="CS74:CX74"/>
    <mergeCell ref="BC74:BH74"/>
    <mergeCell ref="BI74:BN74"/>
    <mergeCell ref="BO74:BT74"/>
    <mergeCell ref="BU74:BZ74"/>
    <mergeCell ref="AE75:AJ75"/>
    <mergeCell ref="AK75:AP75"/>
    <mergeCell ref="AQ75:AV75"/>
    <mergeCell ref="AW75:BB75"/>
    <mergeCell ref="F75:L75"/>
    <mergeCell ref="M75:R75"/>
    <mergeCell ref="S75:X75"/>
    <mergeCell ref="Y75:AD75"/>
    <mergeCell ref="CA75:CF75"/>
    <mergeCell ref="CG75:CL75"/>
    <mergeCell ref="CM75:CR75"/>
    <mergeCell ref="CS75:CX75"/>
    <mergeCell ref="BC75:BH75"/>
    <mergeCell ref="BI75:BN75"/>
    <mergeCell ref="BO75:BT75"/>
    <mergeCell ref="BU75:BZ75"/>
    <mergeCell ref="F76:L76"/>
    <mergeCell ref="F77:L77"/>
    <mergeCell ref="D78:CX78"/>
    <mergeCell ref="F79:L79"/>
    <mergeCell ref="M79:R79"/>
    <mergeCell ref="S79:X79"/>
    <mergeCell ref="Y79:AD79"/>
    <mergeCell ref="AE79:AJ79"/>
    <mergeCell ref="AK79:AP79"/>
    <mergeCell ref="AQ79:AV79"/>
    <mergeCell ref="CG79:CL79"/>
    <mergeCell ref="CM79:CR79"/>
    <mergeCell ref="AW79:BB79"/>
    <mergeCell ref="BC79:BH79"/>
    <mergeCell ref="BI79:BN79"/>
    <mergeCell ref="BO79:BT79"/>
    <mergeCell ref="AK80:AP80"/>
    <mergeCell ref="AQ80:AV80"/>
    <mergeCell ref="AW80:BB80"/>
    <mergeCell ref="BC80:BH80"/>
    <mergeCell ref="BU79:BZ79"/>
    <mergeCell ref="CA79:CF79"/>
    <mergeCell ref="BI80:BN80"/>
    <mergeCell ref="BO80:BT80"/>
    <mergeCell ref="BU80:BZ80"/>
    <mergeCell ref="CA80:CF80"/>
    <mergeCell ref="CS79:CX79"/>
    <mergeCell ref="F80:L80"/>
    <mergeCell ref="M80:R80"/>
    <mergeCell ref="S80:X80"/>
    <mergeCell ref="Y80:AD80"/>
    <mergeCell ref="AE80:AJ80"/>
    <mergeCell ref="CG80:CL80"/>
    <mergeCell ref="CM80:CR80"/>
    <mergeCell ref="CS80:CX80"/>
    <mergeCell ref="F81:L81"/>
    <mergeCell ref="M81:R81"/>
    <mergeCell ref="S81:X81"/>
    <mergeCell ref="Y81:AD81"/>
    <mergeCell ref="AE81:AJ81"/>
    <mergeCell ref="AK81:AP81"/>
    <mergeCell ref="AQ81:AV81"/>
    <mergeCell ref="CG81:CL81"/>
    <mergeCell ref="CM81:CR81"/>
    <mergeCell ref="AW81:BB81"/>
    <mergeCell ref="BC81:BH81"/>
    <mergeCell ref="BI81:BN81"/>
    <mergeCell ref="BO81:BT81"/>
    <mergeCell ref="AK82:AP82"/>
    <mergeCell ref="AQ82:AV82"/>
    <mergeCell ref="AW82:BB82"/>
    <mergeCell ref="BC82:BH82"/>
    <mergeCell ref="BU81:BZ81"/>
    <mergeCell ref="CA81:CF81"/>
    <mergeCell ref="BI82:BN82"/>
    <mergeCell ref="BO82:BT82"/>
    <mergeCell ref="BU82:BZ82"/>
    <mergeCell ref="CA82:CF82"/>
    <mergeCell ref="CS81:CX81"/>
    <mergeCell ref="F82:L82"/>
    <mergeCell ref="M82:R82"/>
    <mergeCell ref="S82:X82"/>
    <mergeCell ref="Y82:AD82"/>
    <mergeCell ref="AE82:AJ82"/>
    <mergeCell ref="CG82:CL82"/>
    <mergeCell ref="CM82:CR82"/>
    <mergeCell ref="CS82:CX82"/>
    <mergeCell ref="F83:L83"/>
    <mergeCell ref="M83:R83"/>
    <mergeCell ref="S83:X83"/>
    <mergeCell ref="Y83:AD83"/>
    <mergeCell ref="AE83:AJ83"/>
    <mergeCell ref="AK83:AP83"/>
    <mergeCell ref="AQ83:AV83"/>
    <mergeCell ref="CG83:CL83"/>
    <mergeCell ref="CM83:CR83"/>
    <mergeCell ref="AW83:BB83"/>
    <mergeCell ref="BC83:BH83"/>
    <mergeCell ref="BI83:BN83"/>
    <mergeCell ref="BO83:BT83"/>
    <mergeCell ref="AK84:AP84"/>
    <mergeCell ref="AQ84:AV84"/>
    <mergeCell ref="AW84:BB84"/>
    <mergeCell ref="BC84:BH84"/>
    <mergeCell ref="BU83:BZ83"/>
    <mergeCell ref="CA83:CF83"/>
    <mergeCell ref="BI84:BN84"/>
    <mergeCell ref="BO84:BT84"/>
    <mergeCell ref="BU84:BZ84"/>
    <mergeCell ref="CA84:CF84"/>
    <mergeCell ref="CS83:CX83"/>
    <mergeCell ref="F84:L84"/>
    <mergeCell ref="M84:R84"/>
    <mergeCell ref="S84:X84"/>
    <mergeCell ref="Y84:AD84"/>
    <mergeCell ref="AE84:AJ84"/>
    <mergeCell ref="CG84:CL84"/>
    <mergeCell ref="CM84:CR84"/>
    <mergeCell ref="CS84:CX84"/>
    <mergeCell ref="F85:L85"/>
    <mergeCell ref="M85:R85"/>
    <mergeCell ref="S85:X85"/>
    <mergeCell ref="Y85:AD85"/>
    <mergeCell ref="AE85:AJ85"/>
    <mergeCell ref="AK85:AP85"/>
    <mergeCell ref="AQ85:AV85"/>
    <mergeCell ref="CG85:CL85"/>
    <mergeCell ref="CM85:CR85"/>
    <mergeCell ref="AW85:BB85"/>
    <mergeCell ref="BC85:BH85"/>
    <mergeCell ref="BI85:BN85"/>
    <mergeCell ref="BO85:BT85"/>
    <mergeCell ref="AK86:AP86"/>
    <mergeCell ref="AQ86:AV86"/>
    <mergeCell ref="AW86:BB86"/>
    <mergeCell ref="BC86:BH86"/>
    <mergeCell ref="BU85:BZ85"/>
    <mergeCell ref="CA85:CF85"/>
    <mergeCell ref="BI86:BN86"/>
    <mergeCell ref="BO86:BT86"/>
    <mergeCell ref="BU86:BZ86"/>
    <mergeCell ref="CA86:CF86"/>
    <mergeCell ref="CS85:CX85"/>
    <mergeCell ref="F86:L86"/>
    <mergeCell ref="M86:R86"/>
    <mergeCell ref="S86:X86"/>
    <mergeCell ref="Y86:AD86"/>
    <mergeCell ref="AE86:AJ86"/>
    <mergeCell ref="CG86:CL86"/>
    <mergeCell ref="CM86:CR86"/>
    <mergeCell ref="CS86:CX86"/>
    <mergeCell ref="F87:L87"/>
    <mergeCell ref="M87:R87"/>
    <mergeCell ref="S87:X87"/>
    <mergeCell ref="Y87:AD87"/>
    <mergeCell ref="AE87:AJ87"/>
    <mergeCell ref="AK87:AP87"/>
    <mergeCell ref="AQ87:AV87"/>
    <mergeCell ref="CG87:CL87"/>
    <mergeCell ref="CM87:CR87"/>
    <mergeCell ref="AW87:BB87"/>
    <mergeCell ref="BC87:BH87"/>
    <mergeCell ref="BI87:BN87"/>
    <mergeCell ref="BO87:BT87"/>
    <mergeCell ref="AK88:AP88"/>
    <mergeCell ref="AQ88:AV88"/>
    <mergeCell ref="AW88:BB88"/>
    <mergeCell ref="BC88:BH88"/>
    <mergeCell ref="BU87:BZ87"/>
    <mergeCell ref="CA87:CF87"/>
    <mergeCell ref="BI88:BN88"/>
    <mergeCell ref="BO88:BT88"/>
    <mergeCell ref="BU88:BZ88"/>
    <mergeCell ref="CA88:CF88"/>
    <mergeCell ref="CS87:CX87"/>
    <mergeCell ref="F88:L88"/>
    <mergeCell ref="M88:R88"/>
    <mergeCell ref="S88:X88"/>
    <mergeCell ref="Y88:AD88"/>
    <mergeCell ref="AE88:AJ88"/>
    <mergeCell ref="CG88:CL88"/>
    <mergeCell ref="CM88:CR88"/>
    <mergeCell ref="CS88:CX88"/>
    <mergeCell ref="F89:L89"/>
    <mergeCell ref="M89:R89"/>
    <mergeCell ref="S89:X89"/>
    <mergeCell ref="Y89:AD89"/>
    <mergeCell ref="AE89:AJ89"/>
    <mergeCell ref="AK89:AP89"/>
    <mergeCell ref="AQ89:AV89"/>
    <mergeCell ref="CG89:CL89"/>
    <mergeCell ref="CM89:CR89"/>
    <mergeCell ref="AW89:BB89"/>
    <mergeCell ref="BC89:BH89"/>
    <mergeCell ref="BI89:BN89"/>
    <mergeCell ref="BO89:BT89"/>
    <mergeCell ref="AK90:AP90"/>
    <mergeCell ref="AQ90:AV90"/>
    <mergeCell ref="AW90:BB90"/>
    <mergeCell ref="BC90:BH90"/>
    <mergeCell ref="BU89:BZ89"/>
    <mergeCell ref="CA89:CF89"/>
    <mergeCell ref="BI90:BN90"/>
    <mergeCell ref="BO90:BT90"/>
    <mergeCell ref="BU90:BZ90"/>
    <mergeCell ref="CA90:CF90"/>
    <mergeCell ref="CS89:CX89"/>
    <mergeCell ref="F90:L90"/>
    <mergeCell ref="M90:R90"/>
    <mergeCell ref="S90:X90"/>
    <mergeCell ref="Y90:AD90"/>
    <mergeCell ref="AE90:AJ90"/>
    <mergeCell ref="CG90:CL90"/>
    <mergeCell ref="CM90:CR90"/>
    <mergeCell ref="CS90:CX90"/>
    <mergeCell ref="F91:L91"/>
    <mergeCell ref="M91:R91"/>
    <mergeCell ref="S91:X91"/>
    <mergeCell ref="Y91:AD91"/>
    <mergeCell ref="AE91:AJ91"/>
    <mergeCell ref="AK91:AP91"/>
    <mergeCell ref="AQ91:AV91"/>
    <mergeCell ref="CG91:CL91"/>
    <mergeCell ref="CM91:CR91"/>
    <mergeCell ref="AW91:BB91"/>
    <mergeCell ref="BC91:BH91"/>
    <mergeCell ref="BI91:BN91"/>
    <mergeCell ref="BO91:BT91"/>
    <mergeCell ref="AK92:AP92"/>
    <mergeCell ref="AQ92:AV92"/>
    <mergeCell ref="AW92:BB92"/>
    <mergeCell ref="BC92:BH92"/>
    <mergeCell ref="BU91:BZ91"/>
    <mergeCell ref="CA91:CF91"/>
    <mergeCell ref="AK93:AP93"/>
    <mergeCell ref="AQ93:AV93"/>
    <mergeCell ref="BI92:BN92"/>
    <mergeCell ref="BO92:BT92"/>
    <mergeCell ref="CS91:CX91"/>
    <mergeCell ref="F92:L92"/>
    <mergeCell ref="M92:R92"/>
    <mergeCell ref="S92:X92"/>
    <mergeCell ref="Y92:AD92"/>
    <mergeCell ref="AE92:AJ92"/>
    <mergeCell ref="CG92:CL92"/>
    <mergeCell ref="CM92:CR92"/>
    <mergeCell ref="BU92:BZ92"/>
    <mergeCell ref="CA92:CF92"/>
    <mergeCell ref="CS92:CX92"/>
    <mergeCell ref="F93:L93"/>
    <mergeCell ref="M93:R93"/>
    <mergeCell ref="S93:X93"/>
    <mergeCell ref="Y93:AD93"/>
    <mergeCell ref="AE93:AJ93"/>
    <mergeCell ref="CS93:CX93"/>
    <mergeCell ref="F94:L94"/>
    <mergeCell ref="BU93:BZ93"/>
    <mergeCell ref="CA93:CF93"/>
    <mergeCell ref="CG93:CL93"/>
    <mergeCell ref="CM93:CR93"/>
    <mergeCell ref="AW93:BB93"/>
    <mergeCell ref="BC93:BH93"/>
    <mergeCell ref="BI93:BN93"/>
    <mergeCell ref="BO93:BT93"/>
    <mergeCell ref="F114:L114"/>
    <mergeCell ref="F115:L115"/>
    <mergeCell ref="F116:L116"/>
    <mergeCell ref="F117:L117"/>
    <mergeCell ref="F110:L110"/>
    <mergeCell ref="F111:L111"/>
    <mergeCell ref="F112:L112"/>
    <mergeCell ref="F113:L113"/>
    <mergeCell ref="F122:L122"/>
    <mergeCell ref="F123:L123"/>
    <mergeCell ref="F124:L124"/>
    <mergeCell ref="F125:L125"/>
    <mergeCell ref="F118:L118"/>
    <mergeCell ref="F119:L119"/>
    <mergeCell ref="F120:L120"/>
    <mergeCell ref="F121:L121"/>
    <mergeCell ref="F130:L130"/>
    <mergeCell ref="F131:L131"/>
    <mergeCell ref="F132:L132"/>
    <mergeCell ref="F133:L133"/>
    <mergeCell ref="F126:L126"/>
    <mergeCell ref="F127:L127"/>
    <mergeCell ref="F128:L128"/>
    <mergeCell ref="F129:L129"/>
    <mergeCell ref="F138:L138"/>
    <mergeCell ref="F139:L139"/>
    <mergeCell ref="F140:L140"/>
    <mergeCell ref="F141:L141"/>
    <mergeCell ref="F134:L134"/>
    <mergeCell ref="F135:L135"/>
    <mergeCell ref="F136:L136"/>
    <mergeCell ref="F137:L137"/>
    <mergeCell ref="F146:L146"/>
    <mergeCell ref="F147:L147"/>
    <mergeCell ref="F148:L148"/>
    <mergeCell ref="F149:L149"/>
    <mergeCell ref="F142:L142"/>
    <mergeCell ref="F143:L143"/>
    <mergeCell ref="F144:L144"/>
    <mergeCell ref="F145:L145"/>
    <mergeCell ref="F154:L154"/>
    <mergeCell ref="F155:L155"/>
    <mergeCell ref="F156:L156"/>
    <mergeCell ref="F157:L157"/>
    <mergeCell ref="F150:L150"/>
    <mergeCell ref="F151:L151"/>
    <mergeCell ref="F152:L152"/>
    <mergeCell ref="F153:L153"/>
    <mergeCell ref="F162:L162"/>
    <mergeCell ref="F163:L163"/>
    <mergeCell ref="F164:L164"/>
    <mergeCell ref="F165:L165"/>
    <mergeCell ref="F158:L158"/>
    <mergeCell ref="F159:L159"/>
    <mergeCell ref="F160:L160"/>
    <mergeCell ref="F161:L161"/>
    <mergeCell ref="F170:L170"/>
    <mergeCell ref="F171:L171"/>
    <mergeCell ref="F172:L172"/>
    <mergeCell ref="F173:L173"/>
    <mergeCell ref="F166:L166"/>
    <mergeCell ref="F167:L167"/>
    <mergeCell ref="F168:L168"/>
    <mergeCell ref="F169:L169"/>
    <mergeCell ref="F178:L178"/>
    <mergeCell ref="F179:L179"/>
    <mergeCell ref="F180:L180"/>
    <mergeCell ref="F181:L181"/>
    <mergeCell ref="F174:L174"/>
    <mergeCell ref="F175:L175"/>
    <mergeCell ref="F176:L176"/>
    <mergeCell ref="F177:L177"/>
    <mergeCell ref="F186:L186"/>
    <mergeCell ref="F187:L187"/>
    <mergeCell ref="F188:L188"/>
    <mergeCell ref="F189:L189"/>
    <mergeCell ref="F182:L182"/>
    <mergeCell ref="F183:L183"/>
    <mergeCell ref="F184:L184"/>
    <mergeCell ref="F185:L185"/>
    <mergeCell ref="F194:L194"/>
    <mergeCell ref="F195:L195"/>
    <mergeCell ref="F196:L196"/>
    <mergeCell ref="F197:L197"/>
    <mergeCell ref="F190:L190"/>
    <mergeCell ref="F191:L191"/>
    <mergeCell ref="F192:L192"/>
    <mergeCell ref="F193:L193"/>
    <mergeCell ref="F202:L202"/>
    <mergeCell ref="F203:L203"/>
    <mergeCell ref="F204:L204"/>
    <mergeCell ref="F205:L205"/>
    <mergeCell ref="F198:L198"/>
    <mergeCell ref="F199:L199"/>
    <mergeCell ref="F200:L200"/>
    <mergeCell ref="F201:L201"/>
    <mergeCell ref="F210:L210"/>
    <mergeCell ref="F211:L211"/>
    <mergeCell ref="F212:L212"/>
    <mergeCell ref="F213:L213"/>
    <mergeCell ref="F206:L206"/>
    <mergeCell ref="F207:L207"/>
    <mergeCell ref="F208:L208"/>
    <mergeCell ref="F209:L209"/>
    <mergeCell ref="F218:L218"/>
    <mergeCell ref="F219:L219"/>
    <mergeCell ref="F220:L220"/>
    <mergeCell ref="F221:L221"/>
    <mergeCell ref="F214:L214"/>
    <mergeCell ref="F215:L215"/>
    <mergeCell ref="F216:L216"/>
    <mergeCell ref="F217:L217"/>
    <mergeCell ref="F226:L226"/>
    <mergeCell ref="F227:L227"/>
    <mergeCell ref="F228:L228"/>
    <mergeCell ref="F229:L229"/>
    <mergeCell ref="F222:L222"/>
    <mergeCell ref="F223:L223"/>
    <mergeCell ref="F224:L224"/>
    <mergeCell ref="F225:L225"/>
    <mergeCell ref="F234:L234"/>
    <mergeCell ref="F235:L235"/>
    <mergeCell ref="F236:L236"/>
    <mergeCell ref="F237:L237"/>
    <mergeCell ref="F230:L230"/>
    <mergeCell ref="F231:L231"/>
    <mergeCell ref="F232:L232"/>
    <mergeCell ref="F233:L233"/>
    <mergeCell ref="F242:L242"/>
    <mergeCell ref="F243:L243"/>
    <mergeCell ref="F244:L244"/>
    <mergeCell ref="F245:L245"/>
    <mergeCell ref="F238:L238"/>
    <mergeCell ref="F239:L239"/>
    <mergeCell ref="F240:L240"/>
    <mergeCell ref="F241:L241"/>
    <mergeCell ref="F250:L250"/>
    <mergeCell ref="F251:L251"/>
    <mergeCell ref="F252:L252"/>
    <mergeCell ref="F253:L253"/>
    <mergeCell ref="F246:L246"/>
    <mergeCell ref="F247:L247"/>
    <mergeCell ref="F248:L248"/>
    <mergeCell ref="F249:L249"/>
    <mergeCell ref="F258:L258"/>
    <mergeCell ref="F259:L259"/>
    <mergeCell ref="F260:L260"/>
    <mergeCell ref="F261:L261"/>
    <mergeCell ref="F254:L254"/>
    <mergeCell ref="F255:L255"/>
    <mergeCell ref="F256:L256"/>
    <mergeCell ref="F257:L257"/>
    <mergeCell ref="F266:L266"/>
    <mergeCell ref="F267:L267"/>
    <mergeCell ref="F268:L268"/>
    <mergeCell ref="F269:L269"/>
    <mergeCell ref="F262:L262"/>
    <mergeCell ref="F263:L263"/>
    <mergeCell ref="F264:L264"/>
    <mergeCell ref="F265:L265"/>
    <mergeCell ref="F274:L274"/>
    <mergeCell ref="F275:L275"/>
    <mergeCell ref="F276:L276"/>
    <mergeCell ref="F277:L277"/>
    <mergeCell ref="F270:L270"/>
    <mergeCell ref="F271:L271"/>
    <mergeCell ref="F272:L272"/>
    <mergeCell ref="F273:L273"/>
    <mergeCell ref="F282:L282"/>
    <mergeCell ref="F283:L283"/>
    <mergeCell ref="F284:L284"/>
    <mergeCell ref="F285:L285"/>
    <mergeCell ref="F278:L278"/>
    <mergeCell ref="F279:L279"/>
    <mergeCell ref="F280:L280"/>
    <mergeCell ref="F281:L281"/>
    <mergeCell ref="F290:L290"/>
    <mergeCell ref="F291:L291"/>
    <mergeCell ref="F292:L292"/>
    <mergeCell ref="F299:L299"/>
    <mergeCell ref="F286:L286"/>
    <mergeCell ref="F287:L287"/>
    <mergeCell ref="F288:L288"/>
    <mergeCell ref="F289:L289"/>
    <mergeCell ref="F314:L314"/>
    <mergeCell ref="F300:L300"/>
    <mergeCell ref="F293:L293"/>
    <mergeCell ref="F294:L294"/>
    <mergeCell ref="F295:L295"/>
    <mergeCell ref="F296:L296"/>
    <mergeCell ref="F305:L305"/>
    <mergeCell ref="F306:L306"/>
    <mergeCell ref="F307:L307"/>
    <mergeCell ref="F308:L308"/>
    <mergeCell ref="F315:L315"/>
    <mergeCell ref="F316:L316"/>
    <mergeCell ref="F309:L309"/>
    <mergeCell ref="F310:L310"/>
    <mergeCell ref="F311:L311"/>
    <mergeCell ref="F312:L312"/>
    <mergeCell ref="CY75:DE75"/>
    <mergeCell ref="J51:L52"/>
    <mergeCell ref="G54:J55"/>
    <mergeCell ref="F313:L313"/>
    <mergeCell ref="F301:L301"/>
    <mergeCell ref="F302:L302"/>
    <mergeCell ref="F303:L303"/>
    <mergeCell ref="F304:L304"/>
    <mergeCell ref="F297:L297"/>
    <mergeCell ref="F298:L298"/>
    <mergeCell ref="D26:J27"/>
    <mergeCell ref="D29:J30"/>
    <mergeCell ref="D32:J33"/>
    <mergeCell ref="B2:C3"/>
    <mergeCell ref="B5:C6"/>
    <mergeCell ref="B8:C9"/>
    <mergeCell ref="B11:C12"/>
    <mergeCell ref="DE8:DE9"/>
    <mergeCell ref="CY11:CY12"/>
    <mergeCell ref="CZ11:DD12"/>
    <mergeCell ref="DE11:DE12"/>
    <mergeCell ref="CY2:DE3"/>
    <mergeCell ref="CY5:CY6"/>
    <mergeCell ref="CZ5:DD6"/>
    <mergeCell ref="DE5:DE6"/>
    <mergeCell ref="CY14:CY15"/>
    <mergeCell ref="CZ14:DD15"/>
    <mergeCell ref="CY17:CY18"/>
    <mergeCell ref="CZ17:DD18"/>
    <mergeCell ref="CY8:CY9"/>
    <mergeCell ref="CZ8:DD9"/>
    <mergeCell ref="CY26:CY27"/>
    <mergeCell ref="CZ26:DD27"/>
    <mergeCell ref="CY29:CY30"/>
    <mergeCell ref="CZ29:DD30"/>
    <mergeCell ref="CY20:CY21"/>
    <mergeCell ref="CZ20:DD21"/>
    <mergeCell ref="CY23:CY24"/>
    <mergeCell ref="CZ23:DD24"/>
    <mergeCell ref="CY32:CY33"/>
    <mergeCell ref="CZ32:DD33"/>
    <mergeCell ref="D2:J3"/>
    <mergeCell ref="D5:J6"/>
    <mergeCell ref="D8:J9"/>
    <mergeCell ref="D11:J12"/>
    <mergeCell ref="D14:J15"/>
    <mergeCell ref="D17:J18"/>
    <mergeCell ref="D20:J21"/>
    <mergeCell ref="D23:J24"/>
  </mergeCells>
  <phoneticPr fontId="1" type="noConversion"/>
  <conditionalFormatting sqref="M73 S73 Y73 AE73 AK73 AQ73 AW73 BC73 BI73 BO73 BU73 CA73 CG73 CM73 CS73">
    <cfRule type="expression" dxfId="10" priority="1" stopIfTrue="1">
      <formula>AND(NOT(ISBLANK(M$49)), M$73 &lt;=0)</formula>
    </cfRule>
    <cfRule type="cellIs" dxfId="9" priority="2" stopIfTrue="1" operator="equal">
      <formula>1</formula>
    </cfRule>
  </conditionalFormatting>
  <conditionalFormatting sqref="C56:C70">
    <cfRule type="expression" dxfId="8" priority="3" stopIfTrue="1">
      <formula>AND($F56&lt;&gt;"", $C56&lt;=0)</formula>
    </cfRule>
    <cfRule type="cellIs" dxfId="7" priority="4" stopIfTrue="1" operator="equal">
      <formula>1</formula>
    </cfRule>
  </conditionalFormatting>
  <conditionalFormatting sqref="M76:CX77 O94:CX316 M94:N94 M110:N316">
    <cfRule type="expression" dxfId="6" priority="5" stopIfTrue="1">
      <formula>AND(ISNUMBER(#REF!), ISNUMBER(#REF!))</formula>
    </cfRule>
  </conditionalFormatting>
  <conditionalFormatting sqref="M74:CX74">
    <cfRule type="expression" dxfId="5" priority="6" stopIfTrue="1">
      <formula>ISNUMBER(#REF!)</formula>
    </cfRule>
  </conditionalFormatting>
  <conditionalFormatting sqref="BU71:BU72 CA71:CA72 CG71:CG72 BO71:BO72 AW71:AW72 BC71:BC72 BI71:BI72 AQ71:AQ72 Y71:Y72 AE71:AE72 AK71:AK72 M71:S72 CS71:CS72 CM71:CM72">
    <cfRule type="expression" dxfId="4" priority="7" stopIfTrue="1">
      <formula>ISNUMBER(#REF!)</formula>
    </cfRule>
  </conditionalFormatting>
  <conditionalFormatting sqref="F76:L77 F94:L94 F110:L316">
    <cfRule type="expression" dxfId="3" priority="8" stopIfTrue="1">
      <formula>ISNUMBER(#REF!)</formula>
    </cfRule>
  </conditionalFormatting>
  <conditionalFormatting sqref="D76:E77 B76:C78 B94:D316 E94 E110:E316">
    <cfRule type="expression" dxfId="2" priority="9" stopIfTrue="1">
      <formula>ISNUMBER(#REF!)</formula>
    </cfRule>
    <cfRule type="expression" dxfId="1" priority="10" stopIfTrue="1">
      <formula>NOT(ISNUMBER(#REF!))</formula>
    </cfRule>
  </conditionalFormatting>
  <conditionalFormatting sqref="M75:CX75">
    <cfRule type="expression" dxfId="0" priority="11" stopIfTrue="1">
      <formula>ISNUMBER(#REF!)</formula>
    </cfRule>
  </conditionalFormatting>
  <dataValidations count="4">
    <dataValidation type="list" showInputMessage="1" showErrorMessage="1" errorTitle="Invalid Correlation Value" error="Correlation values indicate the degree of correlation between requirements._x000a__x000a_Valid values include: &quot;┼┼&quot; (Strong Positive), &quot;┼&quot; (Positive), &quot;▬&quot; (Negative), &quot;▼&quot; (Strong Negative)" sqref="Q43:T44 W43:Z44 AC43:AF44 AI43:AL44 AO43:AR44 AU43:AX44 BA43:BD44 BG43:BJ44 BM43:BP44 BS43:BV44 BY43:CB44 CE43:CH44 CK43:CN44 CQ43:CT44 CN40:CQ41 CH40:CK41 CB40:CE41 BV40:BY41 BP40:BS41 BJ40:BM41 BD40:BG41 AX40:BA41 AR40:AU41 AL40:AO41 AF40:AI41 Z40:AC41 T40:W41 W37:Z38 AC37:AF38 AI37:AL38 AO37:AR38 AU37:AX38 BA37:BD38 BG37:BJ38 BM37:BP38 BS37:BV38 BY37:CB38 CE37:CH38 CK37:CN38 CH34:CK35 CB34:CE35 BV34:BY35 BP34:BS35 BJ34:BM35 BD34:BG35 AX34:BA35 AR34:AU35 AL34:AO35 AF34:AI35 Z34:AC35 AC31:AF32 AI31:AL32 AO31:AR32 AU31:AX32 BA31:BD32 BG31:BJ32 BM31:BP32 BS31:BV32 BY31:CB32 CE31:CH32 CB28:CE29 BV28:BY29 BP28:BS29 BJ28:BM29 BD28:BG29 AX28:BA29 AR28:AU29 AL28:AO29 AF28:AI29 AI25:AL26 AO25:AR26 AU25:AX26 BA25:BD26 BG25:BJ26 BM25:BP26 BS25:BV26 BY25:CB26 BV22:BY23 BP22:BS23 BJ22:BM23 BD22:BG23 AX22:BA23 AR22:AU23 AL22:AO23 AO19:AR20 AU19:AX20 BA19:BD20 BG19:BJ20 BM19:BP20 BS19:BV20 BP16:BS17 BJ16:BM17 BD16:BG17 AX16:BA17 AR16:AU17 AU13:AX14 BA13:BD14 BG13:BJ14 BM13:BP14 BJ10:BM11 BD10:BG11 AX10:BA11 BA7:BD8 BG7:BJ8 BD4:BG5" xr:uid="{390773E6-77CD-4E4D-95D3-D2B2DF48BE9A}">
      <formula1>Correlation_Options</formula1>
    </dataValidation>
    <dataValidation type="list" showErrorMessage="1" errorTitle="Invalid Value" error="This row indicates the direction of improvement (i.e. whether the requirement is_x000a_intended to be maximized, minimized, or to hit a particular target).  _x000a__x000a_Valid values include: &quot;▼&quot; (Minimize), &quot;▲&quot; (Maximize), and &quot;x&quot; (Target)." sqref="CS48 AE48 Y48 AQ48 AK48 BI48 BC48 AW48 BO48 CM48 CA48 BU48 M48:S48 CG48" xr:uid="{9C851770-AD59-4CE8-B465-D0CFE3CA6D84}">
      <formula1>Min_Max_or_Target_Options</formula1>
    </dataValidation>
    <dataValidation type="list" showErrorMessage="1" errorTitle="Invalid Relationship Value" error="Relationship values indicate the strength of the relationship between the requirements.  _x000a__x000a_Valid values include:  &quot;Θ&quot; (Strong), &quot;Ο&quot; (Moderate), and &quot;▲&quot;  (Weak)." sqref="M56:S57 CM56:CM70 S68:S69 M70:S70 M68:M69 M60:S67 CS56:CS70 CG56:CG70 BU56:BU70 CA56:CA70 AE56:AE70 BO56:BO70 AQ56:AQ70 AW56:AW70 BC56:BC70 BI56:BI70 AK56:AK70 Y56:Y70 M58:M59 S58:S59" xr:uid="{2E6CD45F-11C0-4075-A1B1-1341753DE8E8}">
      <formula1>Relationship_Between_Requirements_Options</formula1>
    </dataValidation>
    <dataValidation type="whole" allowBlank="1" showErrorMessage="1" errorTitle="Invalid Value" error="Please enter a whole number between 0 and 10.  (0=Easy to Accomplish, 10=Extremely Difficult)" sqref="AE72 CS72 CG72 CM72 BU72 CA72 M72:S72 BO72 AW72 BC72 BI72 AK72 AQ72 Y72" xr:uid="{37A6BDDD-82FC-4211-9DFE-BB258835660F}">
      <formula1>0</formula1>
      <formula2>10</formula2>
    </dataValidation>
  </dataValidations>
  <printOptions horizontalCentered="1" verticalCentered="1"/>
  <pageMargins left="0.25" right="0.25" top="0.25" bottom="0.25" header="0.5" footer="0.5"/>
  <pageSetup scale="67"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1C8FA-BE17-4C34-AFD9-DE93B9D67377}">
  <dimension ref="B1:P24"/>
  <sheetViews>
    <sheetView zoomScale="94" zoomScaleNormal="94" workbookViewId="0">
      <selection activeCell="IV65536" sqref="IV65536"/>
    </sheetView>
  </sheetViews>
  <sheetFormatPr baseColWidth="10" defaultColWidth="9.1796875" defaultRowHeight="12.5" x14ac:dyDescent="0.25"/>
  <cols>
    <col min="1" max="1" width="1.26953125" style="7" customWidth="1"/>
    <col min="2" max="2" width="1.453125" style="7" customWidth="1"/>
    <col min="3" max="3" width="4.54296875" style="7" customWidth="1"/>
    <col min="4" max="10" width="9.1796875" style="7"/>
    <col min="11" max="11" width="4.54296875" style="7" customWidth="1"/>
    <col min="12" max="12" width="1.453125" style="7" customWidth="1"/>
    <col min="13" max="13" width="2.81640625" style="7" customWidth="1"/>
    <col min="14" max="14" width="1.54296875" style="7" customWidth="1"/>
    <col min="15" max="15" width="22.1796875" style="7" customWidth="1"/>
    <col min="16" max="16" width="1.453125" style="7" customWidth="1"/>
    <col min="17" max="16384" width="9.1796875" style="7"/>
  </cols>
  <sheetData>
    <row r="1" spans="2:16" ht="6.75" customHeight="1" x14ac:dyDescent="0.25"/>
    <row r="2" spans="2:16" ht="8.25" customHeight="1" thickBot="1" x14ac:dyDescent="0.3">
      <c r="B2" s="8"/>
      <c r="C2" s="8"/>
      <c r="D2" s="8"/>
      <c r="E2" s="8"/>
      <c r="F2" s="8"/>
      <c r="G2" s="8"/>
      <c r="H2" s="8"/>
      <c r="I2" s="8"/>
      <c r="J2" s="8"/>
      <c r="K2" s="8"/>
      <c r="L2" s="8"/>
      <c r="N2" s="13"/>
      <c r="O2" s="13"/>
      <c r="P2" s="13"/>
    </row>
    <row r="3" spans="2:16" ht="13" thickTop="1" x14ac:dyDescent="0.25">
      <c r="B3" s="8"/>
      <c r="C3" s="9"/>
      <c r="D3" s="10"/>
      <c r="E3" s="10"/>
      <c r="F3" s="10"/>
      <c r="G3" s="10"/>
      <c r="H3" s="10"/>
      <c r="I3" s="10"/>
      <c r="J3" s="10"/>
      <c r="K3" s="11"/>
      <c r="L3" s="8"/>
      <c r="N3" s="13"/>
      <c r="O3" s="132" t="s">
        <v>60</v>
      </c>
      <c r="P3" s="13"/>
    </row>
    <row r="4" spans="2:16" x14ac:dyDescent="0.25">
      <c r="B4" s="8"/>
      <c r="C4" s="12"/>
      <c r="D4" s="13"/>
      <c r="E4" s="13"/>
      <c r="F4" s="13"/>
      <c r="G4" s="13"/>
      <c r="H4" s="13"/>
      <c r="I4" s="13"/>
      <c r="J4" s="13"/>
      <c r="K4" s="14"/>
      <c r="L4" s="8"/>
      <c r="N4" s="13"/>
      <c r="O4" s="133"/>
      <c r="P4" s="13"/>
    </row>
    <row r="5" spans="2:16" x14ac:dyDescent="0.25">
      <c r="B5" s="8"/>
      <c r="C5" s="12"/>
      <c r="D5" s="13"/>
      <c r="E5" s="13"/>
      <c r="F5" s="13"/>
      <c r="G5" s="13"/>
      <c r="H5" s="13"/>
      <c r="I5" s="13"/>
      <c r="J5" s="13"/>
      <c r="K5" s="14"/>
      <c r="L5" s="8"/>
      <c r="N5" s="13"/>
      <c r="O5" s="133"/>
      <c r="P5" s="13"/>
    </row>
    <row r="6" spans="2:16" ht="24" customHeight="1" x14ac:dyDescent="0.25">
      <c r="B6" s="8"/>
      <c r="C6" s="12"/>
      <c r="D6" s="13"/>
      <c r="E6" s="13"/>
      <c r="F6" s="13"/>
      <c r="G6" s="13"/>
      <c r="H6" s="13"/>
      <c r="I6" s="13"/>
      <c r="J6" s="13"/>
      <c r="K6" s="14"/>
      <c r="L6" s="8"/>
      <c r="N6" s="13"/>
      <c r="O6" s="134"/>
      <c r="P6" s="13"/>
    </row>
    <row r="7" spans="2:16" x14ac:dyDescent="0.25">
      <c r="B7" s="8"/>
      <c r="C7" s="12"/>
      <c r="D7" s="245" t="s">
        <v>16</v>
      </c>
      <c r="E7" s="246"/>
      <c r="F7" s="246" t="s">
        <v>61</v>
      </c>
      <c r="G7" s="246"/>
      <c r="H7" s="246"/>
      <c r="I7" s="246"/>
      <c r="J7" s="251"/>
      <c r="K7" s="14"/>
      <c r="L7" s="8"/>
      <c r="N7" s="130"/>
      <c r="O7" s="135"/>
      <c r="P7" s="13"/>
    </row>
    <row r="8" spans="2:16" x14ac:dyDescent="0.25">
      <c r="B8" s="8"/>
      <c r="C8" s="12"/>
      <c r="D8" s="247" t="s">
        <v>17</v>
      </c>
      <c r="E8" s="248"/>
      <c r="F8" s="248" t="s">
        <v>62</v>
      </c>
      <c r="G8" s="248"/>
      <c r="H8" s="248"/>
      <c r="I8" s="248"/>
      <c r="J8" s="252"/>
      <c r="K8" s="14"/>
      <c r="L8" s="8"/>
      <c r="N8" s="130"/>
      <c r="O8" s="135"/>
      <c r="P8" s="13"/>
    </row>
    <row r="9" spans="2:16" x14ac:dyDescent="0.25">
      <c r="B9" s="8"/>
      <c r="C9" s="12"/>
      <c r="D9" s="249" t="s">
        <v>18</v>
      </c>
      <c r="E9" s="250"/>
      <c r="F9" s="253">
        <v>39427</v>
      </c>
      <c r="G9" s="253"/>
      <c r="H9" s="253"/>
      <c r="I9" s="253"/>
      <c r="J9" s="254"/>
      <c r="K9" s="14"/>
      <c r="L9" s="8"/>
      <c r="N9" s="136"/>
      <c r="O9" s="137"/>
      <c r="P9" s="13"/>
    </row>
    <row r="10" spans="2:16" x14ac:dyDescent="0.25">
      <c r="B10" s="8"/>
      <c r="C10" s="12"/>
      <c r="D10" s="13"/>
      <c r="E10" s="13"/>
      <c r="F10" s="13"/>
      <c r="G10" s="13"/>
      <c r="H10" s="13"/>
      <c r="I10" s="13"/>
      <c r="J10" s="13"/>
      <c r="K10" s="14"/>
      <c r="L10" s="8"/>
      <c r="N10" s="13"/>
      <c r="O10" s="133"/>
      <c r="P10" s="13"/>
    </row>
    <row r="11" spans="2:16" ht="28.5" customHeight="1" x14ac:dyDescent="0.25">
      <c r="B11" s="8"/>
      <c r="C11" s="15"/>
      <c r="D11" s="244" t="s">
        <v>20</v>
      </c>
      <c r="E11" s="244"/>
      <c r="F11" s="244"/>
      <c r="G11" s="244"/>
      <c r="H11" s="244"/>
      <c r="I11" s="244"/>
      <c r="J11" s="244"/>
      <c r="K11" s="16"/>
      <c r="L11" s="8"/>
      <c r="N11" s="128"/>
      <c r="O11" s="138"/>
      <c r="P11" s="13"/>
    </row>
    <row r="12" spans="2:16" s="3" customFormat="1" x14ac:dyDescent="0.25">
      <c r="B12" s="17"/>
      <c r="C12" s="18"/>
      <c r="D12" s="243" t="s">
        <v>22</v>
      </c>
      <c r="E12" s="243"/>
      <c r="F12" s="243"/>
      <c r="G12" s="243"/>
      <c r="H12" s="243"/>
      <c r="I12" s="243"/>
      <c r="J12" s="243"/>
      <c r="K12" s="20"/>
      <c r="L12" s="17"/>
      <c r="N12" s="129"/>
      <c r="O12" s="139"/>
      <c r="P12" s="122"/>
    </row>
    <row r="13" spans="2:16" x14ac:dyDescent="0.25">
      <c r="B13" s="8"/>
      <c r="C13" s="12"/>
      <c r="D13" s="19"/>
      <c r="E13" s="19"/>
      <c r="F13" s="19"/>
      <c r="G13" s="19"/>
      <c r="H13" s="19"/>
      <c r="I13" s="19"/>
      <c r="J13" s="19"/>
      <c r="K13" s="14"/>
      <c r="L13" s="8"/>
      <c r="N13" s="19"/>
      <c r="O13" s="140"/>
      <c r="P13" s="13"/>
    </row>
    <row r="14" spans="2:16" ht="24.75" customHeight="1" x14ac:dyDescent="0.25">
      <c r="B14" s="8"/>
      <c r="C14" s="15"/>
      <c r="D14" s="244" t="s">
        <v>21</v>
      </c>
      <c r="E14" s="244"/>
      <c r="F14" s="244"/>
      <c r="G14" s="244"/>
      <c r="H14" s="244"/>
      <c r="I14" s="244"/>
      <c r="J14" s="244"/>
      <c r="K14" s="16"/>
      <c r="L14" s="8"/>
      <c r="N14" s="128"/>
      <c r="O14" s="138"/>
      <c r="P14" s="13"/>
    </row>
    <row r="15" spans="2:16" s="3" customFormat="1" x14ac:dyDescent="0.25">
      <c r="B15" s="17"/>
      <c r="C15" s="18"/>
      <c r="D15" s="243" t="s">
        <v>55</v>
      </c>
      <c r="E15" s="243"/>
      <c r="F15" s="243"/>
      <c r="G15" s="243"/>
      <c r="H15" s="243"/>
      <c r="I15" s="243"/>
      <c r="J15" s="243"/>
      <c r="K15" s="20"/>
      <c r="L15" s="17"/>
      <c r="N15" s="129"/>
      <c r="O15" s="139"/>
      <c r="P15" s="122"/>
    </row>
    <row r="16" spans="2:16" x14ac:dyDescent="0.25">
      <c r="B16" s="8"/>
      <c r="C16" s="12"/>
      <c r="D16" s="19"/>
      <c r="E16" s="19"/>
      <c r="F16" s="19"/>
      <c r="G16" s="19"/>
      <c r="H16" s="19"/>
      <c r="I16" s="19"/>
      <c r="J16" s="19"/>
      <c r="K16" s="14"/>
      <c r="L16" s="8"/>
      <c r="N16" s="19"/>
      <c r="O16" s="140"/>
      <c r="P16" s="13"/>
    </row>
    <row r="17" spans="2:16" ht="48" customHeight="1" x14ac:dyDescent="0.25">
      <c r="B17" s="8"/>
      <c r="C17" s="15"/>
      <c r="D17" s="244" t="s">
        <v>63</v>
      </c>
      <c r="E17" s="244"/>
      <c r="F17" s="244"/>
      <c r="G17" s="244"/>
      <c r="H17" s="244"/>
      <c r="I17" s="244"/>
      <c r="J17" s="244"/>
      <c r="K17" s="16"/>
      <c r="L17" s="8"/>
      <c r="N17" s="128"/>
      <c r="O17" s="138"/>
      <c r="P17" s="13"/>
    </row>
    <row r="18" spans="2:16" s="3" customFormat="1" ht="13.5" customHeight="1" x14ac:dyDescent="0.25">
      <c r="B18" s="17"/>
      <c r="C18" s="15"/>
      <c r="D18" s="255" t="s">
        <v>64</v>
      </c>
      <c r="E18" s="255"/>
      <c r="F18" s="255"/>
      <c r="G18" s="255"/>
      <c r="H18" s="255"/>
      <c r="I18" s="255"/>
      <c r="J18" s="255"/>
      <c r="K18" s="16"/>
      <c r="L18" s="17"/>
      <c r="N18" s="131"/>
      <c r="O18" s="141"/>
      <c r="P18" s="122"/>
    </row>
    <row r="19" spans="2:16" x14ac:dyDescent="0.25">
      <c r="B19" s="8"/>
      <c r="C19" s="12"/>
      <c r="D19" s="13"/>
      <c r="E19" s="13"/>
      <c r="F19" s="13"/>
      <c r="G19" s="13"/>
      <c r="H19" s="13"/>
      <c r="I19" s="13"/>
      <c r="J19" s="13"/>
      <c r="K19" s="14"/>
      <c r="L19" s="8"/>
      <c r="N19" s="13"/>
      <c r="O19" s="133"/>
      <c r="P19" s="13"/>
    </row>
    <row r="20" spans="2:16" ht="39" customHeight="1" x14ac:dyDescent="0.25">
      <c r="B20" s="8"/>
      <c r="C20" s="15"/>
      <c r="D20" s="244" t="s">
        <v>19</v>
      </c>
      <c r="E20" s="244"/>
      <c r="F20" s="244"/>
      <c r="G20" s="244"/>
      <c r="H20" s="244"/>
      <c r="I20" s="244"/>
      <c r="J20" s="244"/>
      <c r="K20" s="16"/>
      <c r="L20" s="8"/>
      <c r="N20" s="128"/>
      <c r="O20" s="138"/>
      <c r="P20" s="13"/>
    </row>
    <row r="21" spans="2:16" s="3" customFormat="1" x14ac:dyDescent="0.25">
      <c r="B21" s="17"/>
      <c r="C21" s="18"/>
      <c r="D21" s="243" t="s">
        <v>23</v>
      </c>
      <c r="E21" s="243"/>
      <c r="F21" s="243"/>
      <c r="G21" s="243"/>
      <c r="H21" s="243"/>
      <c r="I21" s="243"/>
      <c r="J21" s="243"/>
      <c r="K21" s="20"/>
      <c r="L21" s="17"/>
      <c r="N21" s="129"/>
      <c r="O21" s="139"/>
      <c r="P21" s="122"/>
    </row>
    <row r="22" spans="2:16" x14ac:dyDescent="0.25">
      <c r="B22" s="8"/>
      <c r="C22" s="12"/>
      <c r="D22" s="13"/>
      <c r="E22" s="13"/>
      <c r="F22" s="13"/>
      <c r="G22" s="13"/>
      <c r="H22" s="13"/>
      <c r="I22" s="13"/>
      <c r="J22" s="13"/>
      <c r="K22" s="14"/>
      <c r="L22" s="8"/>
      <c r="N22" s="13"/>
      <c r="O22" s="133"/>
      <c r="P22" s="13"/>
    </row>
    <row r="23" spans="2:16" ht="13" thickBot="1" x14ac:dyDescent="0.3">
      <c r="B23" s="8"/>
      <c r="C23" s="21"/>
      <c r="D23" s="22"/>
      <c r="E23" s="22"/>
      <c r="F23" s="22"/>
      <c r="G23" s="22"/>
      <c r="H23" s="22"/>
      <c r="I23" s="22"/>
      <c r="J23" s="22"/>
      <c r="K23" s="23"/>
      <c r="L23" s="8"/>
      <c r="N23" s="13"/>
      <c r="O23" s="142"/>
      <c r="P23" s="13"/>
    </row>
    <row r="24" spans="2:16" ht="8.25" customHeight="1" thickTop="1" x14ac:dyDescent="0.25">
      <c r="B24" s="8"/>
      <c r="C24" s="8"/>
      <c r="D24" s="8"/>
      <c r="E24" s="8"/>
      <c r="F24" s="8"/>
      <c r="G24" s="8"/>
      <c r="H24" s="8"/>
      <c r="I24" s="8"/>
      <c r="J24" s="8"/>
      <c r="K24" s="8"/>
      <c r="L24" s="8"/>
      <c r="N24" s="13"/>
      <c r="O24" s="13"/>
      <c r="P24" s="13"/>
    </row>
  </sheetData>
  <sheetProtection password="CEF3" sheet="1" objects="1" scenarios="1"/>
  <mergeCells count="14">
    <mergeCell ref="D14:J14"/>
    <mergeCell ref="D20:J20"/>
    <mergeCell ref="D11:J11"/>
    <mergeCell ref="D12:J12"/>
    <mergeCell ref="D21:J21"/>
    <mergeCell ref="D17:J17"/>
    <mergeCell ref="D7:E7"/>
    <mergeCell ref="D8:E8"/>
    <mergeCell ref="D9:E9"/>
    <mergeCell ref="D15:J15"/>
    <mergeCell ref="F7:J7"/>
    <mergeCell ref="F8:J8"/>
    <mergeCell ref="F9:J9"/>
    <mergeCell ref="D18:J18"/>
  </mergeCells>
  <phoneticPr fontId="1" type="noConversion"/>
  <hyperlinks>
    <hyperlink ref="D21" r:id="rId1" display="http://www.QFDOnline.com/template-terms/" xr:uid="{B7ABD47E-7A5D-4A1E-AB91-775CD1732E2B}"/>
    <hyperlink ref="D15" r:id="rId2" display="http://www.QFDOnline.com/template-terms/" xr:uid="{3CAF6CAE-49F9-4C65-84D6-55771C9883EC}"/>
    <hyperlink ref="D15:J15" r:id="rId3" display="http://www.qfdonline.com/templates/comments/" xr:uid="{FFC90625-AE98-435E-91EE-731EADF4F4E2}"/>
    <hyperlink ref="D21:J21" r:id="rId4" display="http://www.qfdonline.com/about/terms-of-use/" xr:uid="{C3A2E673-177A-42E9-B77D-9A31B1A1D365}"/>
    <hyperlink ref="D18:J18" r:id="rId5" display="http://www.qfdonline.com/templates/template-sponsorship/" xr:uid="{1F5DDF9C-EE25-4AC8-BBB3-085E3D6BA50B}"/>
    <hyperlink ref="D12" r:id="rId6" display="http://www.QFDOnline.com/template-terms/" xr:uid="{CFD688DF-70B9-46F6-82AF-B924AA52561E}"/>
    <hyperlink ref="D12:J12" r:id="rId7" display="http://www.qfdonline.com/templates/" xr:uid="{A7B782D9-FB1E-4165-928C-89BD1B298D4E}"/>
  </hyperlinks>
  <printOptions horizontalCentered="1"/>
  <pageMargins left="0.75" right="0.75" top="1" bottom="1" header="0.5" footer="0.5"/>
  <pageSetup orientation="portrait" r:id="rId8"/>
  <headerFooter alignWithMargins="0"/>
  <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8</vt:i4>
      </vt:variant>
    </vt:vector>
  </HeadingPairs>
  <TitlesOfParts>
    <vt:vector size="14" baseType="lpstr">
      <vt:lpstr>House of Quality 1</vt:lpstr>
      <vt:lpstr>Data Validation Sources</vt:lpstr>
      <vt:lpstr>House of Quality 2</vt:lpstr>
      <vt:lpstr>House of Quality 3</vt:lpstr>
      <vt:lpstr>House of Quality 4</vt:lpstr>
      <vt:lpstr>About</vt:lpstr>
      <vt:lpstr>About!Área_de_impresión</vt:lpstr>
      <vt:lpstr>'House of Quality 1'!Área_de_impresión</vt:lpstr>
      <vt:lpstr>'House of Quality 2'!Área_de_impresión</vt:lpstr>
      <vt:lpstr>'House of Quality 3'!Área_de_impresión</vt:lpstr>
      <vt:lpstr>'House of Quality 4'!Área_de_impresión</vt:lpstr>
      <vt:lpstr>Correlation_Options</vt:lpstr>
      <vt:lpstr>Min_Max_or_Target_Options</vt:lpstr>
      <vt:lpstr>Relationship_Between_Requirements_Options</vt:lpstr>
    </vt:vector>
  </TitlesOfParts>
  <Company>QFD Online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Traditional House of Quality Template</dc:title>
  <dc:subject>House of Quality / QFD</dc:subject>
  <dc:creator>www.QFDOnline.com</dc:creator>
  <cp:keywords>"House of Quality", "Quality Function Deployment", QFD, HOQ</cp:keywords>
  <dc:description>©2007 QFD Online</dc:description>
  <cp:lastModifiedBy>Nelson Steven Santos Gonzalez</cp:lastModifiedBy>
  <cp:lastPrinted>2007-09-12T04:17:51Z</cp:lastPrinted>
  <dcterms:created xsi:type="dcterms:W3CDTF">2005-02-15T21:17:31Z</dcterms:created>
  <dcterms:modified xsi:type="dcterms:W3CDTF">2026-02-19T17:02:05Z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©2007 QFD Online</vt:lpwstr>
  </property>
  <property fmtid="{D5CDD505-2E9C-101B-9397-08002B2CF9AE}" pid="3" name="Update URL">
    <vt:lpwstr>http://www.qfdonline.com/templates/</vt:lpwstr>
  </property>
</Properties>
</file>